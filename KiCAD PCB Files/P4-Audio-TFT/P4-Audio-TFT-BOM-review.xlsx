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242baa8614d4d3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OM" sheetId="1" r:id="Rde4c804df223493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000"/>
    <x:numFmt numFmtId="201" formatCode="#,##0"/>
    <x:numFmt numFmtId="202" formatCode="0.0000"/>
    <x:numFmt numFmtId="203" formatCode="0.00"/>
    <x:numFmt numFmtId="204" formatCode="&quot;$&quot;0.00"/>
  </x:numFmts>
  <x:fonts count="7">
    <x:font>
      <x:sz val="11"/>
      <x:name val="Carlito"/>
    </x:font>
    <x:font>
      <x:b/>
      <x:sz val="15"/>
      <x:color rgb="FF1F2937"/>
      <x:name val="Arial"/>
    </x:font>
    <x:font>
      <x:i/>
      <x:sz val="10"/>
      <x:color rgb="FF4B5563"/>
      <x:name val="Arial"/>
    </x:font>
    <x:font>
      <x:b/>
      <x:sz val="11"/>
      <x:color rgb="FFB91C1C"/>
      <x:name val="Arial"/>
    </x:font>
    <x:font>
      <x:sz val="10"/>
      <x:color rgb="FF1F2937"/>
      <x:name val="Arial"/>
    </x:font>
    <x:font>
      <x:b/>
      <x:sz val="10"/>
      <x:color rgb="FF1F2937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6374D"/>
      </x:patternFill>
    </x:fill>
    <x:fill>
      <x:patternFill patternType="solid">
        <x:fgColor rgb="FFF4F6F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4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5" fillId="0" borderId="0" xfId="0" applyNumberFormat="1" applyFont="1" applyFill="1" applyBorder="1"/>
    <x:xf numFmtId="0" fontId="4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wrapText="1"/>
    </x:xf>
    <x:xf numFmtId="0" fontId="6" fillId="2" borderId="0" xfId="0" applyNumberFormat="1" applyFont="1" applyFill="1" applyBorder="1" applyAlignment="1">
      <x:alignment horizontal="center" wrapText="1"/>
    </x:xf>
    <x:xf numFmtId="0" fontId="6" fillId="2" borderId="0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 wrapText="1"/>
    </x:xf>
    <x:xf numFmtId="200" fontId="4" fillId="0" borderId="0" xfId="0" applyNumberFormat="1" applyFont="1" applyFill="1" applyBorder="1" applyAlignment="1">
      <x:alignment vertical="center" wrapText="1"/>
    </x:xf>
    <x:xf numFmtId="201" fontId="4" fillId="0" borderId="0" xfId="0" applyNumberFormat="1" applyFont="1" applyFill="1" applyBorder="1" applyAlignment="1">
      <x:alignment vertical="center"/>
    </x:xf>
    <x:xf numFmtId="202" fontId="4" fillId="0" borderId="0" xfId="0" applyNumberFormat="1" applyFont="1" applyFill="1" applyBorder="1" applyAlignment="1">
      <x:alignment vertical="center"/>
    </x:xf>
    <x:xf numFmtId="203" fontId="4" fillId="0" borderId="0" xfId="0" applyNumberFormat="1" applyFont="1" applyFill="1" applyBorder="1" applyAlignment="1">
      <x:alignment vertical="center"/>
    </x:xf>
    <x:xf numFmtId="204" fontId="4" fillId="0" borderId="0" xfId="0" applyNumberFormat="1" applyFont="1" applyFill="1" applyBorder="1"/>
    <x:xf numFmtId="0" fontId="4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 wrapText="1"/>
    </x:xf>
    <x:xf numFmtId="200" fontId="4" fillId="3" borderId="0" xfId="0" applyNumberFormat="1" applyFont="1" applyFill="1" applyBorder="1" applyAlignment="1">
      <x:alignment vertical="center" wrapText="1"/>
    </x:xf>
    <x:xf numFmtId="201" fontId="4" fillId="3" borderId="0" xfId="0" applyNumberFormat="1" applyFont="1" applyFill="1" applyBorder="1" applyAlignment="1">
      <x:alignment vertical="center"/>
    </x:xf>
    <x:xf numFmtId="202" fontId="4" fillId="3" borderId="0" xfId="0" applyNumberFormat="1" applyFont="1" applyFill="1" applyBorder="1" applyAlignment="1">
      <x:alignment vertical="center"/>
    </x:xf>
    <x:xf numFmtId="203" fontId="4" fillId="3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1">
    <x:dxf>
      <x:font>
        <x:b/>
        <x:color rgb="FF991B1B"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03b53544cc54943" /><Relationship Type="http://schemas.openxmlformats.org/officeDocument/2006/relationships/theme" Target="/xl/theme/theme1.xml" Id="Rf8623855c8234c45" /><Relationship Type="http://schemas.openxmlformats.org/officeDocument/2006/relationships/sharedStrings" Target="/xl/sharedStrings.xml" Id="R2228b432955f46e9" /><Relationship Type="http://schemas.openxmlformats.org/officeDocument/2006/relationships/worksheet" Target="/xl/worksheets/sheet1.xml" Id="Rde4c804df223493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2" ySplit="8" topLeftCell="C9" activePane="bottomRight" state="frozen"/>
    </x:sheetView>
  </x:sheetViews>
  <x:sheetFormatPr defaultRowHeight="15"/>
  <x:cols>
    <x:col min="1" max="1" width="11.5" hidden="0" customWidth="1"/>
    <x:col min="2" max="2" width="28.75" hidden="0" customWidth="1"/>
    <x:col min="3" max="3" width="25.6299991607666" hidden="0" customWidth="1"/>
    <x:col min="4" max="4" width="19.3799991607666" hidden="0" customWidth="1"/>
    <x:col min="5" max="5" width="8.25" hidden="0" customWidth="1"/>
    <x:col min="6" max="6" width="9.75" hidden="0" customWidth="1"/>
    <x:col min="7" max="7" width="12.5" hidden="0" customWidth="1"/>
    <x:col min="8" max="8" width="13" hidden="0" customWidth="1"/>
    <x:col min="9" max="9" width="10.75" hidden="0" customWidth="1"/>
    <x:col min="10" max="10" width="10.75" hidden="0" customWidth="1"/>
    <x:col min="11" max="11" width="14.75" hidden="0" customWidth="1"/>
    <x:col min="12" max="12" width="14" hidden="0" customWidth="1"/>
    <x:col min="13" max="13" width="32.5" hidden="0" customWidth="1"/>
    <x:col min="14" max="14" width="22.5" hidden="0" customWidth="1"/>
    <x:col min="15" max="15" width="13" hidden="0" customWidth="1"/>
    <x:col min="16" max="16" width="13.130000114440918" hidden="0" customWidth="1"/>
    <x:col min="17" max="17" width="14.380000114440918" hidden="0" customWidth="1"/>
    <x:col min="18" max="18" width="81.25" hidden="0" customWidth="1"/>
    <x:col min="19" max="19" width="55" hidden="0" customWidth="1"/>
  </x:cols>
  <x:sheetData>
    <x:row r="2">
      <x:c r="A2" s="1" t="str">
        <x:v>P4 Audio TFT — component sourcing</x:v>
      </x:c>
    </x:row>
    <x:row r="3">
      <x:c r="A3" s="2" t="str">
        <x:v>Checked 19 October 2026. Prices in USD; assembly fees, PCB, VAT and delivery excluded.</x:v>
      </x:c>
    </x:row>
    <x:row r="4">
      <x:c r="A4" s="4" t="str">
        <x:v>Boards</x:v>
      </x:c>
      <x:c r="B4" s="4" t="n">
        <x:v>5</x:v>
      </x:c>
      <x:c r="C4" s="4"/>
      <x:c r="D4" s="4" t="str">
        <x:v>Stocked assembly parts estimate</x:v>
      </x:c>
      <x:c r="E4" s="4"/>
      <x:c r="F4" s="4"/>
      <x:c r="G4" s="4"/>
      <x:c r="H4" s="17" t="n">
        <x:f>SUMIFS(J9:J73,K9:K73,"In stock",Q9:Q73,"JLC assembly")</x:f>
        <x:v>95.5344</x:v>
      </x:c>
      <x:c r="I4" s="4"/>
      <x:c r="J4" s="4"/>
      <x:c r="K4" s="4"/>
      <x:c r="L4" s="4"/>
      <x:c r="M4" s="4"/>
      <x:c r="N4" s="4"/>
      <x:c r="O4" s="4"/>
      <x:c r="P4" s="4"/>
      <x:c r="Q4" s="4"/>
      <x:c r="R4" s="4"/>
      <x:c r="S4" s="4"/>
    </x:row>
    <x:row r="5">
      <x:c r="A5" s="4"/>
      <x:c r="B5" s="4"/>
      <x:c r="C5" s="4"/>
      <x:c r="D5" s="4" t="str">
        <x:v>Estimate including stock exceptions</x:v>
      </x:c>
      <x:c r="E5" s="4"/>
      <x:c r="F5" s="4"/>
      <x:c r="G5" s="4"/>
      <x:c r="H5" s="17" t="n">
        <x:f>SUMIFS(J9:J73,Q9:Q73,"JLC assembly")</x:f>
        <x:v>159.83290000000002</x:v>
      </x:c>
      <x:c r="I5" s="4"/>
      <x:c r="J5" s="4"/>
      <x:c r="K5" s="4"/>
      <x:c r="L5" s="4"/>
      <x:c r="M5" s="4"/>
      <x:c r="N5" s="4"/>
      <x:c r="O5" s="4"/>
      <x:c r="P5" s="4"/>
      <x:c r="Q5" s="4"/>
      <x:c r="R5" s="4"/>
      <x:c r="S5" s="4"/>
    </x:row>
    <x:row r="6">
      <x:c r="A6" s="5" t="str">
        <x:v>Assembly sourcing blocked: U1/P4 and U8/LDO out of stock; U9/C6 only 2 available for five boards.</x:v>
      </x:c>
      <x:c r="B6" s="4"/>
      <x:c r="C6" s="4"/>
      <x:c r="D6" s="4"/>
      <x:c r="E6" s="4"/>
      <x:c r="F6" s="4"/>
      <x:c r="G6" s="4"/>
      <x:c r="H6" s="4"/>
      <x:c r="I6" s="4"/>
      <x:c r="J6" s="4"/>
      <x:c r="K6" s="4"/>
      <x:c r="L6" s="4"/>
      <x:c r="M6" s="4"/>
      <x:c r="N6" s="4"/>
      <x:c r="O6" s="4"/>
      <x:c r="P6" s="4"/>
      <x:c r="Q6" s="4"/>
      <x:c r="R6" s="4"/>
      <x:c r="S6" s="4"/>
    </x:row>
    <x:row r="7">
      <x:c r="A7" s="4"/>
      <x:c r="B7" s="4"/>
      <x:c r="C7" s="4"/>
      <x:c r="D7" s="4"/>
      <x:c r="E7" s="4"/>
      <x:c r="F7" s="4"/>
      <x:c r="G7" s="4"/>
      <x:c r="H7" s="4"/>
      <x:c r="I7" s="4"/>
      <x:c r="J7" s="4"/>
      <x:c r="K7" s="4"/>
      <x:c r="L7" s="4"/>
      <x:c r="M7" s="4"/>
      <x:c r="N7" s="4"/>
      <x:c r="O7" s="4"/>
      <x:c r="P7" s="4"/>
      <x:c r="Q7" s="4"/>
      <x:c r="R7" s="4"/>
      <x:c r="S7" s="4"/>
    </x:row>
    <x:row r="8" ht="34" customHeight="1">
      <x:c r="A8" s="10" t="str">
        <x:v>Class</x:v>
      </x:c>
      <x:c r="B8" s="10" t="str">
        <x:v>Designators</x:v>
      </x:c>
      <x:c r="C8" s="10" t="str">
        <x:v>Value</x:v>
      </x:c>
      <x:c r="D8" s="10" t="str">
        <x:v>Package</x:v>
      </x:c>
      <x:c r="E8" s="10" t="str">
        <x:v>Per board</x:v>
      </x:c>
      <x:c r="F8" s="10" t="str">
        <x:v>For 5 boards</x:v>
      </x:c>
      <x:c r="G8" s="10" t="str">
        <x:v>Allocate estimate</x:v>
      </x:c>
      <x:c r="H8" s="10" t="str">
        <x:v>JLC stock</x:v>
      </x:c>
      <x:c r="I8" s="10" t="str">
        <x:v>Unit USD</x:v>
      </x:c>
      <x:c r="J8" s="10" t="str">
        <x:v>Line USD</x:v>
      </x:c>
      <x:c r="K8" s="10" t="str">
        <x:v>Availability</x:v>
      </x:c>
      <x:c r="L8" s="10" t="str">
        <x:v>LCSC code</x:v>
      </x:c>
      <x:c r="M8" s="10" t="str">
        <x:v>Manufacturer part</x:v>
      </x:c>
      <x:c r="N8" s="10" t="str">
        <x:v>Manufacturer</x:v>
      </x:c>
      <x:c r="O8" s="10" t="str">
        <x:v>Assembly minimum</x:v>
      </x:c>
      <x:c r="P8" s="10" t="str">
        <x:v>Wastage allowance</x:v>
      </x:c>
      <x:c r="Q8" s="10" t="str">
        <x:v>Fit</x:v>
      </x:c>
      <x:c r="R8" s="10" t="str">
        <x:v>Notes</x:v>
      </x:c>
      <x:c r="S8" s="10" t="str">
        <x:v>Source</x:v>
      </x:c>
    </x:row>
    <x:row r="9" ht="26" customHeight="1">
      <x:c r="A9" s="11" t="str">
        <x:v>Basic</x:v>
      </x:c>
      <x:c r="B9" s="12" t="str">
        <x:v>R16, R24, R27</x:v>
      </x:c>
      <x:c r="C9" s="12" t="str">
        <x:v>5.1k</x:v>
      </x:c>
      <x:c r="D9" s="13" t="str">
        <x:v>0603</x:v>
      </x:c>
      <x:c r="E9" s="14" t="n">
        <x:v>3</x:v>
      </x:c>
      <x:c r="F9" s="14" t="n">
        <x:f>E9*$B$4</x:f>
        <x:v>15</x:v>
      </x:c>
      <x:c r="G9" s="14" t="n">
        <x:f>MAX(F9+P9,O9)</x:f>
        <x:v>25</x:v>
      </x:c>
      <x:c r="H9" s="14" t="n">
        <x:v>23342336</x:v>
      </x:c>
      <x:c r="I9" s="15" t="n">
        <x:v>0.0015</x:v>
      </x:c>
      <x:c r="J9" s="16" t="n">
        <x:f>G9*I9</x:f>
        <x:v>0.0375</x:v>
      </x:c>
      <x:c r="K9" s="11" t="str">
        <x:v>In stock</x:v>
      </x:c>
      <x:c r="L9" s="11" t="str">
        <x:v>C23186</x:v>
      </x:c>
      <x:c r="M9" s="11" t="str">
        <x:v>0603WAF5101T5E</x:v>
      </x:c>
      <x:c r="N9" s="11" t="str">
        <x:v>UNI-ROYAL(Uniroyal Elec)</x:v>
      </x:c>
      <x:c r="O9" s="11" t="n">
        <x:v>20</x:v>
      </x:c>
      <x:c r="P9" s="11" t="n">
        <x:v>10</x:v>
      </x:c>
      <x:c r="Q9" s="11" t="str">
        <x:v>JLC assembly</x:v>
      </x:c>
      <x:c r="R9" s="12" t="str"/>
      <x:c r="S9" s="11" t="str">
        <x:v>https://jlcpcb.com/partdetail/part/C23186</x:v>
      </x:c>
    </x:row>
    <x:row r="10" ht="26" customHeight="1">
      <x:c r="A10" s="18" t="str">
        <x:v>Basic</x:v>
      </x:c>
      <x:c r="B10" s="19" t="str">
        <x:v>R10, R11</x:v>
      </x:c>
      <x:c r="C10" s="19" t="str">
        <x:v>22R</x:v>
      </x:c>
      <x:c r="D10" s="20" t="str">
        <x:v>0603</x:v>
      </x:c>
      <x:c r="E10" s="21" t="n">
        <x:v>2</x:v>
      </x:c>
      <x:c r="F10" s="21" t="n">
        <x:f>E10*$B$4</x:f>
        <x:v>10</x:v>
      </x:c>
      <x:c r="G10" s="21" t="n">
        <x:f>MAX(F10+P10,O10)</x:f>
        <x:v>20</x:v>
      </x:c>
      <x:c r="H10" s="21" t="n">
        <x:v>7646846</x:v>
      </x:c>
      <x:c r="I10" s="22" t="n">
        <x:v>0.0017</x:v>
      </x:c>
      <x:c r="J10" s="23" t="n">
        <x:f>G10*I10</x:f>
        <x:v>0.033999999999999996</x:v>
      </x:c>
      <x:c r="K10" s="18" t="str">
        <x:v>In stock</x:v>
      </x:c>
      <x:c r="L10" s="18" t="str">
        <x:v>C23345</x:v>
      </x:c>
      <x:c r="M10" s="18" t="str">
        <x:v>0603WAF220JT5E</x:v>
      </x:c>
      <x:c r="N10" s="18" t="str">
        <x:v>UNI-ROYAL(Uniroyal Elec)</x:v>
      </x:c>
      <x:c r="O10" s="18" t="n">
        <x:v>20</x:v>
      </x:c>
      <x:c r="P10" s="18" t="n">
        <x:v>10</x:v>
      </x:c>
      <x:c r="Q10" s="18" t="str">
        <x:v>JLC assembly</x:v>
      </x:c>
      <x:c r="R10" s="19" t="str"/>
      <x:c r="S10" s="18" t="str">
        <x:v>https://jlcpcb.com/partdetail/part/C23345</x:v>
      </x:c>
    </x:row>
    <x:row r="11" ht="26" customHeight="1">
      <x:c r="A11" s="11" t="str">
        <x:v>Basic</x:v>
      </x:c>
      <x:c r="B11" s="12" t="str">
        <x:v>R54, R55, R56, R57, R58, R59</x:v>
      </x:c>
      <x:c r="C11" s="12" t="str">
        <x:v>51k</x:v>
      </x:c>
      <x:c r="D11" s="13" t="str">
        <x:v>0603</x:v>
      </x:c>
      <x:c r="E11" s="14" t="n">
        <x:v>6</x:v>
      </x:c>
      <x:c r="F11" s="14" t="n">
        <x:f>E11*$B$4</x:f>
        <x:v>30</x:v>
      </x:c>
      <x:c r="G11" s="14" t="n">
        <x:f>MAX(F11+P11,O11)</x:f>
        <x:v>40</x:v>
      </x:c>
      <x:c r="H11" s="14" t="n">
        <x:v>2399299</x:v>
      </x:c>
      <x:c r="I11" s="15" t="n">
        <x:v>0.0017</x:v>
      </x:c>
      <x:c r="J11" s="16" t="n">
        <x:f>G11*I11</x:f>
        <x:v>0.06799999999999999</x:v>
      </x:c>
      <x:c r="K11" s="11" t="str">
        <x:v>In stock</x:v>
      </x:c>
      <x:c r="L11" s="11" t="str">
        <x:v>C23196</x:v>
      </x:c>
      <x:c r="M11" s="11" t="str">
        <x:v>0603WAF5102T5E</x:v>
      </x:c>
      <x:c r="N11" s="11" t="str">
        <x:v>UNI-ROYAL(Uniroyal Elec)</x:v>
      </x:c>
      <x:c r="O11" s="11" t="n">
        <x:v>20</x:v>
      </x:c>
      <x:c r="P11" s="11" t="n">
        <x:v>10</x:v>
      </x:c>
      <x:c r="Q11" s="11" t="str">
        <x:v>JLC assembly</x:v>
      </x:c>
      <x:c r="R11" s="12" t="str"/>
      <x:c r="S11" s="11" t="str">
        <x:v>https://jlcpcb.com/partdetail/part/C23196</x:v>
      </x:c>
    </x:row>
    <x:row r="12" ht="26" customHeight="1">
      <x:c r="A12" s="18" t="str">
        <x:v>Basic</x:v>
      </x:c>
      <x:c r="B12" s="19" t="str">
        <x:v>R13, R14</x:v>
      </x:c>
      <x:c r="C12" s="19" t="str">
        <x:v>470R</x:v>
      </x:c>
      <x:c r="D12" s="20" t="str">
        <x:v>0603</x:v>
      </x:c>
      <x:c r="E12" s="21" t="n">
        <x:v>2</x:v>
      </x:c>
      <x:c r="F12" s="21" t="n">
        <x:f>E12*$B$4</x:f>
        <x:v>10</x:v>
      </x:c>
      <x:c r="G12" s="21" t="n">
        <x:f>MAX(F12+P12,O12)</x:f>
        <x:v>20</x:v>
      </x:c>
      <x:c r="H12" s="21" t="n">
        <x:v>5492068</x:v>
      </x:c>
      <x:c r="I12" s="22" t="n">
        <x:v>0.0023</x:v>
      </x:c>
      <x:c r="J12" s="23" t="n">
        <x:f>G12*I12</x:f>
        <x:v>0.046</x:v>
      </x:c>
      <x:c r="K12" s="18" t="str">
        <x:v>In stock</x:v>
      </x:c>
      <x:c r="L12" s="18" t="str">
        <x:v>C23179</x:v>
      </x:c>
      <x:c r="M12" s="18" t="str">
        <x:v>0603WAF4700T5E</x:v>
      </x:c>
      <x:c r="N12" s="18" t="str">
        <x:v>UNI-ROYAL(Uniroyal Elec)</x:v>
      </x:c>
      <x:c r="O12" s="18" t="n">
        <x:v>20</x:v>
      </x:c>
      <x:c r="P12" s="18" t="n">
        <x:v>10</x:v>
      </x:c>
      <x:c r="Q12" s="18" t="str">
        <x:v>JLC assembly</x:v>
      </x:c>
      <x:c r="R12" s="19" t="str"/>
      <x:c r="S12" s="18" t="str">
        <x:v>https://jlcpcb.com/partdetail/part/C23179</x:v>
      </x:c>
    </x:row>
    <x:row r="13" ht="26" customHeight="1">
      <x:c r="A13" s="11" t="str">
        <x:v>Basic</x:v>
      </x:c>
      <x:c r="B13" s="12" t="str">
        <x:v>R5, R6, R7, R8, R17</x:v>
      </x:c>
      <x:c r="C13" s="12" t="str">
        <x:v>33R</x:v>
      </x:c>
      <x:c r="D13" s="13" t="str">
        <x:v>0603</x:v>
      </x:c>
      <x:c r="E13" s="14" t="n">
        <x:v>5</x:v>
      </x:c>
      <x:c r="F13" s="14" t="n">
        <x:f>E13*$B$4</x:f>
        <x:v>25</x:v>
      </x:c>
      <x:c r="G13" s="14" t="n">
        <x:f>MAX(F13+P13,O13)</x:f>
        <x:v>35</x:v>
      </x:c>
      <x:c r="H13" s="14" t="n">
        <x:v>4875893</x:v>
      </x:c>
      <x:c r="I13" s="15" t="n">
        <x:v>0.0024</x:v>
      </x:c>
      <x:c r="J13" s="16" t="n">
        <x:f>G13*I13</x:f>
        <x:v>0.08399999999999999</x:v>
      </x:c>
      <x:c r="K13" s="11" t="str">
        <x:v>In stock</x:v>
      </x:c>
      <x:c r="L13" s="11" t="str">
        <x:v>C23140</x:v>
      </x:c>
      <x:c r="M13" s="11" t="str">
        <x:v>0603WAF330JT5E</x:v>
      </x:c>
      <x:c r="N13" s="11" t="str">
        <x:v>UNI-ROYAL(Uniroyal Elec)</x:v>
      </x:c>
      <x:c r="O13" s="11" t="n">
        <x:v>20</x:v>
      </x:c>
      <x:c r="P13" s="11" t="n">
        <x:v>10</x:v>
      </x:c>
      <x:c r="Q13" s="11" t="str">
        <x:v>JLC assembly</x:v>
      </x:c>
      <x:c r="R13" s="12" t="str"/>
      <x:c r="S13" s="11" t="str">
        <x:v>https://jlcpcb.com/partdetail/part/C23140</x:v>
      </x:c>
    </x:row>
    <x:row r="14" ht="26" customHeight="1">
      <x:c r="A14" s="18" t="str">
        <x:v>Basic</x:v>
      </x:c>
      <x:c r="B14" s="19" t="str">
        <x:v>R48</x:v>
      </x:c>
      <x:c r="C14" s="19" t="str">
        <x:v>2k</x:v>
      </x:c>
      <x:c r="D14" s="20" t="str">
        <x:v>0603</x:v>
      </x:c>
      <x:c r="E14" s="21" t="n">
        <x:v>1</x:v>
      </x:c>
      <x:c r="F14" s="21" t="n">
        <x:f>E14*$B$4</x:f>
        <x:v>5</x:v>
      </x:c>
      <x:c r="G14" s="21" t="n">
        <x:f>MAX(F14+P14,O14)</x:f>
        <x:v>20</x:v>
      </x:c>
      <x:c r="H14" s="21" t="n">
        <x:v>11221424</x:v>
      </x:c>
      <x:c r="I14" s="22" t="n">
        <x:v>0.0024</x:v>
      </x:c>
      <x:c r="J14" s="23" t="n">
        <x:f>G14*I14</x:f>
        <x:v>0.047999999999999994</x:v>
      </x:c>
      <x:c r="K14" s="18" t="str">
        <x:v>In stock</x:v>
      </x:c>
      <x:c r="L14" s="18" t="str">
        <x:v>C22975</x:v>
      </x:c>
      <x:c r="M14" s="18" t="str">
        <x:v>0603WAF2001T5E</x:v>
      </x:c>
      <x:c r="N14" s="18" t="str">
        <x:v>UNI-ROYAL(Uniroyal Elec)</x:v>
      </x:c>
      <x:c r="O14" s="18" t="n">
        <x:v>20</x:v>
      </x:c>
      <x:c r="P14" s="18" t="n">
        <x:v>10</x:v>
      </x:c>
      <x:c r="Q14" s="18" t="str">
        <x:v>JLC assembly</x:v>
      </x:c>
      <x:c r="R14" s="19" t="str"/>
      <x:c r="S14" s="18" t="str">
        <x:v>https://jlcpcb.com/partdetail/part/C22975</x:v>
      </x:c>
    </x:row>
    <x:row r="15" ht="26" customHeight="1">
      <x:c r="A15" s="11" t="str">
        <x:v>Basic</x:v>
      </x:c>
      <x:c r="B15" s="12" t="str">
        <x:v>R15</x:v>
      </x:c>
      <x:c r="C15" s="12" t="str">
        <x:v>100R</x:v>
      </x:c>
      <x:c r="D15" s="13" t="str">
        <x:v>0603</x:v>
      </x:c>
      <x:c r="E15" s="14" t="n">
        <x:v>1</x:v>
      </x:c>
      <x:c r="F15" s="14" t="n">
        <x:f>E15*$B$4</x:f>
        <x:v>5</x:v>
      </x:c>
      <x:c r="G15" s="14" t="n">
        <x:f>MAX(F15+P15,O15)</x:f>
        <x:v>20</x:v>
      </x:c>
      <x:c r="H15" s="14" t="n">
        <x:v>10630717</x:v>
      </x:c>
      <x:c r="I15" s="15" t="n">
        <x:v>0.0025</x:v>
      </x:c>
      <x:c r="J15" s="16" t="n">
        <x:f>G15*I15</x:f>
        <x:v>0.05</x:v>
      </x:c>
      <x:c r="K15" s="11" t="str">
        <x:v>In stock</x:v>
      </x:c>
      <x:c r="L15" s="11" t="str">
        <x:v>C22775</x:v>
      </x:c>
      <x:c r="M15" s="11" t="str">
        <x:v>0603WAF1000T5E</x:v>
      </x:c>
      <x:c r="N15" s="11" t="str">
        <x:v>UNI-ROYAL(Uniroyal Elec)</x:v>
      </x:c>
      <x:c r="O15" s="11" t="n">
        <x:v>20</x:v>
      </x:c>
      <x:c r="P15" s="11" t="n">
        <x:v>10</x:v>
      </x:c>
      <x:c r="Q15" s="11" t="str">
        <x:v>JLC assembly</x:v>
      </x:c>
      <x:c r="R15" s="12" t="str"/>
      <x:c r="S15" s="11" t="str">
        <x:v>https://jlcpcb.com/partdetail/part/C22775</x:v>
      </x:c>
    </x:row>
    <x:row r="16" ht="26" customHeight="1">
      <x:c r="A16" s="18" t="str">
        <x:v>Basic</x:v>
      </x:c>
      <x:c r="B16" s="19" t="str">
        <x:v>R1, R2</x:v>
      </x:c>
      <x:c r="C16" s="19" t="str">
        <x:v>4.7k</x:v>
      </x:c>
      <x:c r="D16" s="20" t="str">
        <x:v>0603</x:v>
      </x:c>
      <x:c r="E16" s="21" t="n">
        <x:v>2</x:v>
      </x:c>
      <x:c r="F16" s="21" t="n">
        <x:f>E16*$B$4</x:f>
        <x:v>10</x:v>
      </x:c>
      <x:c r="G16" s="21" t="n">
        <x:f>MAX(F16+P16,O16)</x:f>
        <x:v>20</x:v>
      </x:c>
      <x:c r="H16" s="21" t="n">
        <x:v>18421225</x:v>
      </x:c>
      <x:c r="I16" s="22" t="n">
        <x:v>0.0028</x:v>
      </x:c>
      <x:c r="J16" s="23" t="n">
        <x:f>G16*I16</x:f>
        <x:v>0.056</x:v>
      </x:c>
      <x:c r="K16" s="18" t="str">
        <x:v>In stock</x:v>
      </x:c>
      <x:c r="L16" s="18" t="str">
        <x:v>C23162</x:v>
      </x:c>
      <x:c r="M16" s="18" t="str">
        <x:v>0603WAF4701T5E</x:v>
      </x:c>
      <x:c r="N16" s="18" t="str">
        <x:v>UNI-ROYAL(Uniroyal Elec)</x:v>
      </x:c>
      <x:c r="O16" s="18" t="n">
        <x:v>20</x:v>
      </x:c>
      <x:c r="P16" s="18" t="n">
        <x:v>10</x:v>
      </x:c>
      <x:c r="Q16" s="18" t="str">
        <x:v>JLC assembly</x:v>
      </x:c>
      <x:c r="R16" s="19" t="str"/>
      <x:c r="S16" s="18" t="str">
        <x:v>https://jlcpcb.com/partdetail/part/C23162</x:v>
      </x:c>
    </x:row>
    <x:row r="17" ht="26" customHeight="1">
      <x:c r="A17" s="11" t="str">
        <x:v>Basic</x:v>
      </x:c>
      <x:c r="B17" s="12" t="str">
        <x:v>R47</x:v>
      </x:c>
      <x:c r="C17" s="12" t="str">
        <x:v>1k</x:v>
      </x:c>
      <x:c r="D17" s="13" t="str">
        <x:v>0603</x:v>
      </x:c>
      <x:c r="E17" s="14" t="n">
        <x:v>1</x:v>
      </x:c>
      <x:c r="F17" s="14" t="n">
        <x:f>E17*$B$4</x:f>
        <x:v>5</x:v>
      </x:c>
      <x:c r="G17" s="14" t="n">
        <x:f>MAX(F17+P17,O17)</x:f>
        <x:v>20</x:v>
      </x:c>
      <x:c r="H17" s="14" t="n">
        <x:v>22808225</x:v>
      </x:c>
      <x:c r="I17" s="15" t="n">
        <x:v>0.003</x:v>
      </x:c>
      <x:c r="J17" s="16" t="n">
        <x:f>G17*I17</x:f>
        <x:v>0.06</x:v>
      </x:c>
      <x:c r="K17" s="11" t="str">
        <x:v>In stock</x:v>
      </x:c>
      <x:c r="L17" s="11" t="str">
        <x:v>C21190</x:v>
      </x:c>
      <x:c r="M17" s="11" t="str">
        <x:v>0603WAF1001T5E</x:v>
      </x:c>
      <x:c r="N17" s="11" t="str">
        <x:v>UNI-ROYAL(Uniroyal Elec)</x:v>
      </x:c>
      <x:c r="O17" s="11" t="n">
        <x:v>20</x:v>
      </x:c>
      <x:c r="P17" s="11" t="n">
        <x:v>10</x:v>
      </x:c>
      <x:c r="Q17" s="11" t="str">
        <x:v>JLC assembly</x:v>
      </x:c>
      <x:c r="R17" s="12" t="str"/>
      <x:c r="S17" s="11" t="str">
        <x:v>https://jlcpcb.com/partdetail/part/C21190</x:v>
      </x:c>
    </x:row>
    <x:row r="18" ht="26" customHeight="1">
      <x:c r="A18" s="18" t="str">
        <x:v>Basic</x:v>
      </x:c>
      <x:c r="B18" s="19" t="str">
        <x:v>R23, R37</x:v>
      </x:c>
      <x:c r="C18" s="19" t="str">
        <x:v>100k</x:v>
      </x:c>
      <x:c r="D18" s="20" t="str">
        <x:v>0603</x:v>
      </x:c>
      <x:c r="E18" s="21" t="n">
        <x:v>2</x:v>
      </x:c>
      <x:c r="F18" s="21" t="n">
        <x:f>E18*$B$4</x:f>
        <x:v>10</x:v>
      </x:c>
      <x:c r="G18" s="21" t="n">
        <x:f>MAX(F18+P18,O18)</x:f>
        <x:v>20</x:v>
      </x:c>
      <x:c r="H18" s="21" t="n">
        <x:v>19181265</x:v>
      </x:c>
      <x:c r="I18" s="22" t="n">
        <x:v>0.0031</x:v>
      </x:c>
      <x:c r="J18" s="23" t="n">
        <x:f>G18*I18</x:f>
        <x:v>0.062</x:v>
      </x:c>
      <x:c r="K18" s="18" t="str">
        <x:v>In stock</x:v>
      </x:c>
      <x:c r="L18" s="18" t="str">
        <x:v>C25803</x:v>
      </x:c>
      <x:c r="M18" s="18" t="str">
        <x:v>0603WAF1003T5E</x:v>
      </x:c>
      <x:c r="N18" s="18" t="str">
        <x:v>UNI-ROYAL(Uniroyal Elec)</x:v>
      </x:c>
      <x:c r="O18" s="18" t="n">
        <x:v>20</x:v>
      </x:c>
      <x:c r="P18" s="18" t="n">
        <x:v>10</x:v>
      </x:c>
      <x:c r="Q18" s="18" t="str">
        <x:v>JLC assembly</x:v>
      </x:c>
      <x:c r="R18" s="19" t="str"/>
      <x:c r="S18" s="18" t="str">
        <x:v>https://jlcpcb.com/partdetail/part/C25803</x:v>
      </x:c>
    </x:row>
    <x:row r="19" ht="26" customHeight="1">
      <x:c r="A19" s="11" t="str">
        <x:v>Basic</x:v>
      </x:c>
      <x:c r="B19" s="12" t="str">
        <x:v>R4</x:v>
      </x:c>
      <x:c r="C19" s="12" t="str">
        <x:v>10R</x:v>
      </x:c>
      <x:c r="D19" s="13" t="str">
        <x:v>0603</x:v>
      </x:c>
      <x:c r="E19" s="14" t="n">
        <x:v>1</x:v>
      </x:c>
      <x:c r="F19" s="14" t="n">
        <x:f>E19*$B$4</x:f>
        <x:v>5</x:v>
      </x:c>
      <x:c r="G19" s="14" t="n">
        <x:f>MAX(F19+P19,O19)</x:f>
        <x:v>20</x:v>
      </x:c>
      <x:c r="H19" s="14" t="n">
        <x:v>5995370</x:v>
      </x:c>
      <x:c r="I19" s="15" t="n">
        <x:v>0.0032</x:v>
      </x:c>
      <x:c r="J19" s="16" t="n">
        <x:f>G19*I19</x:f>
        <x:v>0.064</x:v>
      </x:c>
      <x:c r="K19" s="11" t="str">
        <x:v>In stock</x:v>
      </x:c>
      <x:c r="L19" s="11" t="str">
        <x:v>C22859</x:v>
      </x:c>
      <x:c r="M19" s="11" t="str">
        <x:v>0603WAF100JT5E</x:v>
      </x:c>
      <x:c r="N19" s="11" t="str">
        <x:v>UNI-ROYAL(Uniroyal Elec)</x:v>
      </x:c>
      <x:c r="O19" s="11" t="n">
        <x:v>20</x:v>
      </x:c>
      <x:c r="P19" s="11" t="n">
        <x:v>10</x:v>
      </x:c>
      <x:c r="Q19" s="11" t="str">
        <x:v>JLC assembly</x:v>
      </x:c>
      <x:c r="R19" s="12" t="str"/>
      <x:c r="S19" s="11" t="str">
        <x:v>https://jlcpcb.com/partdetail/part/C22859</x:v>
      </x:c>
    </x:row>
    <x:row r="20" ht="26" customHeight="1">
      <x:c r="A20" s="18" t="str">
        <x:v>Basic</x:v>
      </x:c>
      <x:c r="B20" s="19" t="str">
        <x:v>R51</x:v>
      </x:c>
      <x:c r="C20" s="19" t="str">
        <x:v>10M</x:v>
      </x:c>
      <x:c r="D20" s="20" t="str">
        <x:v>0603</x:v>
      </x:c>
      <x:c r="E20" s="21" t="n">
        <x:v>1</x:v>
      </x:c>
      <x:c r="F20" s="21" t="n">
        <x:f>E20*$B$4</x:f>
        <x:v>5</x:v>
      </x:c>
      <x:c r="G20" s="21" t="n">
        <x:f>MAX(F20+P20,O20)</x:f>
        <x:v>20</x:v>
      </x:c>
      <x:c r="H20" s="21" t="n">
        <x:v>1055279</x:v>
      </x:c>
      <x:c r="I20" s="22" t="n">
        <x:v>0.0032</x:v>
      </x:c>
      <x:c r="J20" s="23" t="n">
        <x:f>G20*I20</x:f>
        <x:v>0.064</x:v>
      </x:c>
      <x:c r="K20" s="18" t="str">
        <x:v>In stock</x:v>
      </x:c>
      <x:c r="L20" s="18" t="str">
        <x:v>C7250</x:v>
      </x:c>
      <x:c r="M20" s="18" t="str">
        <x:v>0603WAF1005T5E</x:v>
      </x:c>
      <x:c r="N20" s="18" t="str">
        <x:v>UNI-ROYAL(Uniroyal Elec)</x:v>
      </x:c>
      <x:c r="O20" s="18" t="n">
        <x:v>20</x:v>
      </x:c>
      <x:c r="P20" s="18" t="n">
        <x:v>10</x:v>
      </x:c>
      <x:c r="Q20" s="18" t="str">
        <x:v>JLC assembly</x:v>
      </x:c>
      <x:c r="R20" s="19" t="str"/>
      <x:c r="S20" s="18" t="str">
        <x:v>https://jlcpcb.com/partdetail/part/C7250</x:v>
      </x:c>
    </x:row>
    <x:row r="21" ht="26" customHeight="1">
      <x:c r="A21" s="11" t="str">
        <x:v>Basic</x:v>
      </x:c>
      <x:c r="B21" s="12" t="str">
        <x:v>C101, C115, C118</x:v>
      </x:c>
      <x:c r="C21" s="12" t="str">
        <x:v>100nF</x:v>
      </x:c>
      <x:c r="D21" s="13" t="str">
        <x:v>0402</x:v>
      </x:c>
      <x:c r="E21" s="14" t="n">
        <x:v>3</x:v>
      </x:c>
      <x:c r="F21" s="14" t="n">
        <x:f>E21*$B$4</x:f>
        <x:v>15</x:v>
      </x:c>
      <x:c r="G21" s="14" t="n">
        <x:f>MAX(F21+P21,O21)</x:f>
        <x:v>25</x:v>
      </x:c>
      <x:c r="H21" s="14" t="n">
        <x:v>29163879</x:v>
      </x:c>
      <x:c r="I21" s="15" t="n">
        <x:v>0.0051</x:v>
      </x:c>
      <x:c r="J21" s="16" t="n">
        <x:f>G21*I21</x:f>
        <x:v>0.1275</x:v>
      </x:c>
      <x:c r="K21" s="11" t="str">
        <x:v>In stock</x:v>
      </x:c>
      <x:c r="L21" s="11" t="str">
        <x:v>C1525</x:v>
      </x:c>
      <x:c r="M21" s="11" t="str">
        <x:v>CL05B104KO5NNNC</x:v>
      </x:c>
      <x:c r="N21" s="11" t="str">
        <x:v>Samsung Electro-Mechanics</x:v>
      </x:c>
      <x:c r="O21" s="11" t="n">
        <x:v>20</x:v>
      </x:c>
      <x:c r="P21" s="11" t="n">
        <x:v>10</x:v>
      </x:c>
      <x:c r="Q21" s="11" t="str">
        <x:v>JLC assembly</x:v>
      </x:c>
      <x:c r="R21" s="12" t="str"/>
      <x:c r="S21" s="11" t="str">
        <x:v>https://jlcpcb.com/partdetail/part/C1525</x:v>
      </x:c>
    </x:row>
    <x:row r="22" ht="50" customHeight="1">
      <x:c r="A22" s="18" t="str">
        <x:v>Basic</x:v>
      </x:c>
      <x:c r="B22" s="19" t="str">
        <x:v>R3, R9, R12, R18, R25, R29, R30, R31, R32, R33, R34, R35, R36, R46, R52, R53, R61, R62</x:v>
      </x:c>
      <x:c r="C22" s="19" t="str">
        <x:v>10k</x:v>
      </x:c>
      <x:c r="D22" s="20" t="str">
        <x:v>0603</x:v>
      </x:c>
      <x:c r="E22" s="21" t="n">
        <x:v>18</x:v>
      </x:c>
      <x:c r="F22" s="21" t="n">
        <x:f>E22*$B$4</x:f>
        <x:v>90</x:v>
      </x:c>
      <x:c r="G22" s="21" t="n">
        <x:f>MAX(F22+P22,O22)</x:f>
        <x:v>100</x:v>
      </x:c>
      <x:c r="H22" s="21" t="n">
        <x:v>39228014</x:v>
      </x:c>
      <x:c r="I22" s="22" t="n">
        <x:v>0.0054</x:v>
      </x:c>
      <x:c r="J22" s="23" t="n">
        <x:f>G22*I22</x:f>
        <x:v>0.54</x:v>
      </x:c>
      <x:c r="K22" s="18" t="str">
        <x:v>In stock</x:v>
      </x:c>
      <x:c r="L22" s="18" t="str">
        <x:v>C25804</x:v>
      </x:c>
      <x:c r="M22" s="18" t="str">
        <x:v>0603WAF1002T5E</x:v>
      </x:c>
      <x:c r="N22" s="18" t="str">
        <x:v>UNI-ROYAL(Uniroyal Elec)</x:v>
      </x:c>
      <x:c r="O22" s="18" t="n">
        <x:v>20</x:v>
      </x:c>
      <x:c r="P22" s="18" t="n">
        <x:v>10</x:v>
      </x:c>
      <x:c r="Q22" s="18" t="str">
        <x:v>JLC assembly</x:v>
      </x:c>
      <x:c r="R22" s="19" t="str"/>
      <x:c r="S22" s="18" t="str">
        <x:v>https://jlcpcb.com/partdetail/part/C25804</x:v>
      </x:c>
    </x:row>
    <x:row r="23" ht="26" customHeight="1">
      <x:c r="A23" s="11" t="str">
        <x:v>Basic</x:v>
      </x:c>
      <x:c r="B23" s="12" t="str">
        <x:v>C122, C123, C124, C125, C126</x:v>
      </x:c>
      <x:c r="C23" s="12" t="str">
        <x:v>22pF</x:v>
      </x:c>
      <x:c r="D23" s="13" t="str">
        <x:v>0603</x:v>
      </x:c>
      <x:c r="E23" s="14" t="n">
        <x:v>5</x:v>
      </x:c>
      <x:c r="F23" s="14" t="n">
        <x:f>E23*$B$4</x:f>
        <x:v>25</x:v>
      </x:c>
      <x:c r="G23" s="14" t="n">
        <x:f>MAX(F23+P23,O23)</x:f>
        <x:v>35</x:v>
      </x:c>
      <x:c r="H23" s="14" t="n">
        <x:v>2131614</x:v>
      </x:c>
      <x:c r="I23" s="15" t="n">
        <x:v>0.006</x:v>
      </x:c>
      <x:c r="J23" s="16" t="n">
        <x:f>G23*I23</x:f>
        <x:v>0.21</x:v>
      </x:c>
      <x:c r="K23" s="11" t="str">
        <x:v>In stock</x:v>
      </x:c>
      <x:c r="L23" s="11" t="str">
        <x:v>C1653</x:v>
      </x:c>
      <x:c r="M23" s="11" t="str">
        <x:v>CL10C220JB8NNNC</x:v>
      </x:c>
      <x:c r="N23" s="11" t="str">
        <x:v>Samsung Electro-Mechanics</x:v>
      </x:c>
      <x:c r="O23" s="11" t="n">
        <x:v>20</x:v>
      </x:c>
      <x:c r="P23" s="11" t="n">
        <x:v>10</x:v>
      </x:c>
      <x:c r="Q23" s="11" t="str">
        <x:v>JLC assembly</x:v>
      </x:c>
      <x:c r="R23" s="12" t="str"/>
      <x:c r="S23" s="11" t="str">
        <x:v>https://jlcpcb.com/partdetail/part/C1653</x:v>
      </x:c>
    </x:row>
    <x:row r="24" ht="26" customHeight="1">
      <x:c r="A24" s="18" t="str">
        <x:v>Basic</x:v>
      </x:c>
      <x:c r="B24" s="19" t="str">
        <x:v>C99, C102, C116</x:v>
      </x:c>
      <x:c r="C24" s="19" t="str">
        <x:v>1uF</x:v>
      </x:c>
      <x:c r="D24" s="20" t="str">
        <x:v>0402</x:v>
      </x:c>
      <x:c r="E24" s="21" t="n">
        <x:v>3</x:v>
      </x:c>
      <x:c r="F24" s="21" t="n">
        <x:f>E24*$B$4</x:f>
        <x:v>15</x:v>
      </x:c>
      <x:c r="G24" s="21" t="n">
        <x:f>MAX(F24+P24,O24)</x:f>
        <x:v>25</x:v>
      </x:c>
      <x:c r="H24" s="21" t="n">
        <x:v>8393820</x:v>
      </x:c>
      <x:c r="I24" s="22" t="n">
        <x:v>0.0068</x:v>
      </x:c>
      <x:c r="J24" s="23" t="n">
        <x:f>G24*I24</x:f>
        <x:v>0.16999999999999998</x:v>
      </x:c>
      <x:c r="K24" s="18" t="str">
        <x:v>In stock</x:v>
      </x:c>
      <x:c r="L24" s="18" t="str">
        <x:v>C52923</x:v>
      </x:c>
      <x:c r="M24" s="18" t="str">
        <x:v>CL05A105KA5NQNC</x:v>
      </x:c>
      <x:c r="N24" s="18" t="str">
        <x:v>Samsung Electro-Mechanics</x:v>
      </x:c>
      <x:c r="O24" s="18" t="n">
        <x:v>20</x:v>
      </x:c>
      <x:c r="P24" s="18" t="n">
        <x:v>10</x:v>
      </x:c>
      <x:c r="Q24" s="18" t="str">
        <x:v>JLC assembly</x:v>
      </x:c>
      <x:c r="R24" s="19" t="str"/>
      <x:c r="S24" s="18" t="str">
        <x:v>https://jlcpcb.com/partdetail/part/C52923</x:v>
      </x:c>
    </x:row>
    <x:row r="25" ht="26" customHeight="1">
      <x:c r="A25" s="11" t="str">
        <x:v>Basic</x:v>
      </x:c>
      <x:c r="B25" s="12" t="str">
        <x:v>C1, C2</x:v>
      </x:c>
      <x:c r="C25" s="12" t="str">
        <x:v>220pF</x:v>
      </x:c>
      <x:c r="D25" s="13" t="str">
        <x:v>0603</x:v>
      </x:c>
      <x:c r="E25" s="14" t="n">
        <x:v>2</x:v>
      </x:c>
      <x:c r="F25" s="14" t="n">
        <x:f>E25*$B$4</x:f>
        <x:v>10</x:v>
      </x:c>
      <x:c r="G25" s="14" t="n">
        <x:f>MAX(F25+P25,O25)</x:f>
        <x:v>20</x:v>
      </x:c>
      <x:c r="H25" s="14" t="n">
        <x:v>1167880</x:v>
      </x:c>
      <x:c r="I25" s="15" t="n">
        <x:v>0.0072</x:v>
      </x:c>
      <x:c r="J25" s="16" t="n">
        <x:f>G25*I25</x:f>
        <x:v>0.144</x:v>
      </x:c>
      <x:c r="K25" s="11" t="str">
        <x:v>In stock</x:v>
      </x:c>
      <x:c r="L25" s="11" t="str">
        <x:v>C1603</x:v>
      </x:c>
      <x:c r="M25" s="11" t="str">
        <x:v>CL10B221KB8NNNC</x:v>
      </x:c>
      <x:c r="N25" s="11" t="str">
        <x:v>Samsung Electro-Mechanics</x:v>
      </x:c>
      <x:c r="O25" s="11" t="n">
        <x:v>20</x:v>
      </x:c>
      <x:c r="P25" s="11" t="n">
        <x:v>10</x:v>
      </x:c>
      <x:c r="Q25" s="11" t="str">
        <x:v>JLC assembly</x:v>
      </x:c>
      <x:c r="R25" s="12" t="str"/>
      <x:c r="S25" s="11" t="str">
        <x:v>https://jlcpcb.com/partdetail/part/C1603</x:v>
      </x:c>
    </x:row>
    <x:row r="26" ht="26" customHeight="1">
      <x:c r="A26" s="18" t="str">
        <x:v>Basic</x:v>
      </x:c>
      <x:c r="B26" s="19" t="str">
        <x:v>C92, C93</x:v>
      </x:c>
      <x:c r="C26" s="19" t="str">
        <x:v>100pF</x:v>
      </x:c>
      <x:c r="D26" s="20" t="str">
        <x:v>0603</x:v>
      </x:c>
      <x:c r="E26" s="21" t="n">
        <x:v>2</x:v>
      </x:c>
      <x:c r="F26" s="21" t="n">
        <x:f>E26*$B$4</x:f>
        <x:v>10</x:v>
      </x:c>
      <x:c r="G26" s="21" t="n">
        <x:f>MAX(F26+P26,O26)</x:f>
        <x:v>20</x:v>
      </x:c>
      <x:c r="H26" s="21" t="n">
        <x:v>3988044</x:v>
      </x:c>
      <x:c r="I26" s="22" t="n">
        <x:v>0.0086</x:v>
      </x:c>
      <x:c r="J26" s="23" t="n">
        <x:f>G26*I26</x:f>
        <x:v>0.172</x:v>
      </x:c>
      <x:c r="K26" s="18" t="str">
        <x:v>In stock</x:v>
      </x:c>
      <x:c r="L26" s="18" t="str">
        <x:v>C14858</x:v>
      </x:c>
      <x:c r="M26" s="18" t="str">
        <x:v>CL10C101JB8NNNC</x:v>
      </x:c>
      <x:c r="N26" s="18" t="str">
        <x:v>Samsung Electro-Mechanics</x:v>
      </x:c>
      <x:c r="O26" s="18" t="n">
        <x:v>20</x:v>
      </x:c>
      <x:c r="P26" s="18" t="n">
        <x:v>10</x:v>
      </x:c>
      <x:c r="Q26" s="18" t="str">
        <x:v>JLC assembly</x:v>
      </x:c>
      <x:c r="R26" s="19" t="str"/>
      <x:c r="S26" s="18" t="str">
        <x:v>https://jlcpcb.com/partdetail/part/C14858</x:v>
      </x:c>
    </x:row>
    <x:row r="27" ht="92" customHeight="1">
      <x:c r="A27" s="11" t="str">
        <x:v>Basic</x:v>
      </x:c>
      <x:c r="B27" s="12" t="str">
        <x:v>C5, C6, C10, C12, C14, C16, C17, C18, C19, C22, C23, C25, C29, C30, C33, C34, C65, C77, C82, C85, C86, C94, C95, C96, C103, C104, C105, C107, C109, C110, C112, C114, C117, C127, C129, C131, C132, C133, C136, C137</x:v>
      </x:c>
      <x:c r="C27" s="12" t="str">
        <x:v>100nF</x:v>
      </x:c>
      <x:c r="D27" s="13" t="str">
        <x:v>0603</x:v>
      </x:c>
      <x:c r="E27" s="14" t="n">
        <x:v>40</x:v>
      </x:c>
      <x:c r="F27" s="14" t="n">
        <x:f>E27*$B$4</x:f>
        <x:v>200</x:v>
      </x:c>
      <x:c r="G27" s="14" t="n">
        <x:f>MAX(F27+P27,O27)</x:f>
        <x:v>210</x:v>
      </x:c>
      <x:c r="H27" s="14" t="n">
        <x:v>40118497</x:v>
      </x:c>
      <x:c r="I27" s="15" t="n">
        <x:v>0.0108</x:v>
      </x:c>
      <x:c r="J27" s="16" t="n">
        <x:f>G27*I27</x:f>
        <x:v>2.2680000000000002</x:v>
      </x:c>
      <x:c r="K27" s="11" t="str">
        <x:v>In stock</x:v>
      </x:c>
      <x:c r="L27" s="11" t="str">
        <x:v>C14663</x:v>
      </x:c>
      <x:c r="M27" s="11" t="str">
        <x:v>CC0603KRX7R9BB104</x:v>
      </x:c>
      <x:c r="N27" s="11" t="str">
        <x:v>YAGEO</x:v>
      </x:c>
      <x:c r="O27" s="11" t="n">
        <x:v>20</x:v>
      </x:c>
      <x:c r="P27" s="11" t="n">
        <x:v>10</x:v>
      </x:c>
      <x:c r="Q27" s="11" t="str">
        <x:v>JLC assembly</x:v>
      </x:c>
      <x:c r="R27" s="12" t="str"/>
      <x:c r="S27" s="11" t="str">
        <x:v>https://jlcpcb.com/partdetail/part/C14663</x:v>
      </x:c>
    </x:row>
    <x:row r="28" ht="26" customHeight="1">
      <x:c r="A28" s="18" t="str">
        <x:v>Basic</x:v>
      </x:c>
      <x:c r="B28" s="19" t="str">
        <x:v>C27, C28</x:v>
      </x:c>
      <x:c r="C28" s="19" t="str">
        <x:v>2.2nF</x:v>
      </x:c>
      <x:c r="D28" s="20" t="str">
        <x:v>0603</x:v>
      </x:c>
      <x:c r="E28" s="21" t="n">
        <x:v>2</x:v>
      </x:c>
      <x:c r="F28" s="21" t="n">
        <x:f>E28*$B$4</x:f>
        <x:v>10</x:v>
      </x:c>
      <x:c r="G28" s="21" t="n">
        <x:f>MAX(F28+P28,O28)</x:f>
        <x:v>20</x:v>
      </x:c>
      <x:c r="H28" s="21" t="n">
        <x:v>978911</x:v>
      </x:c>
      <x:c r="I28" s="22" t="n">
        <x:v>0.0109</x:v>
      </x:c>
      <x:c r="J28" s="23" t="n">
        <x:f>G28*I28</x:f>
        <x:v>0.218</x:v>
      </x:c>
      <x:c r="K28" s="18" t="str">
        <x:v>In stock</x:v>
      </x:c>
      <x:c r="L28" s="18" t="str">
        <x:v>C1604</x:v>
      </x:c>
      <x:c r="M28" s="18" t="str">
        <x:v>0603B222K500NT</x:v>
      </x:c>
      <x:c r="N28" s="18" t="str">
        <x:v>FH (Guangdong Fenghua Advanced Tech)</x:v>
      </x:c>
      <x:c r="O28" s="18" t="n">
        <x:v>20</x:v>
      </x:c>
      <x:c r="P28" s="18" t="n">
        <x:v>10</x:v>
      </x:c>
      <x:c r="Q28" s="18" t="str">
        <x:v>JLC assembly</x:v>
      </x:c>
      <x:c r="R28" s="19" t="str"/>
      <x:c r="S28" s="18" t="str">
        <x:v>https://jlcpcb.com/partdetail/part/C1604</x:v>
      </x:c>
    </x:row>
    <x:row r="29" ht="26" customHeight="1">
      <x:c r="A29" s="11" t="str">
        <x:v>Basic</x:v>
      </x:c>
      <x:c r="B29" s="12" t="str">
        <x:v>C24, C26, C89</x:v>
      </x:c>
      <x:c r="C29" s="12" t="str">
        <x:v>2.2uF</x:v>
      </x:c>
      <x:c r="D29" s="13" t="str">
        <x:v>0603</x:v>
      </x:c>
      <x:c r="E29" s="14" t="n">
        <x:v>3</x:v>
      </x:c>
      <x:c r="F29" s="14" t="n">
        <x:f>E29*$B$4</x:f>
        <x:v>15</x:v>
      </x:c>
      <x:c r="G29" s="14" t="n">
        <x:f>MAX(F29+P29,O29)</x:f>
        <x:v>25</x:v>
      </x:c>
      <x:c r="H29" s="14" t="n">
        <x:v>3395818</x:v>
      </x:c>
      <x:c r="I29" s="15" t="n">
        <x:v>0.0134</x:v>
      </x:c>
      <x:c r="J29" s="16" t="n">
        <x:f>G29*I29</x:f>
        <x:v>0.335</x:v>
      </x:c>
      <x:c r="K29" s="11" t="str">
        <x:v>In stock</x:v>
      </x:c>
      <x:c r="L29" s="11" t="str">
        <x:v>C23630</x:v>
      </x:c>
      <x:c r="M29" s="11" t="str">
        <x:v>CL10A225KO8NNNC</x:v>
      </x:c>
      <x:c r="N29" s="11" t="str">
        <x:v>Samsung Electro-Mechanics</x:v>
      </x:c>
      <x:c r="O29" s="11" t="n">
        <x:v>20</x:v>
      </x:c>
      <x:c r="P29" s="11" t="n">
        <x:v>10</x:v>
      </x:c>
      <x:c r="Q29" s="11" t="str">
        <x:v>JLC assembly</x:v>
      </x:c>
      <x:c r="R29" s="12" t="str"/>
      <x:c r="S29" s="11" t="str">
        <x:v>https://jlcpcb.com/partdetail/part/C23630</x:v>
      </x:c>
    </x:row>
    <x:row r="30" ht="26" customHeight="1">
      <x:c r="A30" s="18" t="str">
        <x:v>Basic</x:v>
      </x:c>
      <x:c r="B30" s="19" t="str">
        <x:v>Q4, Q5</x:v>
      </x:c>
      <x:c r="C30" s="19" t="str">
        <x:v>S8050</x:v>
      </x:c>
      <x:c r="D30" s="20" t="str">
        <x:v>SOT-23</x:v>
      </x:c>
      <x:c r="E30" s="21" t="n">
        <x:v>2</x:v>
      </x:c>
      <x:c r="F30" s="21" t="n">
        <x:f>E30*$B$4</x:f>
        <x:v>10</x:v>
      </x:c>
      <x:c r="G30" s="21" t="n">
        <x:f>MAX(F30+P30,O30)</x:f>
        <x:v>15</x:v>
      </x:c>
      <x:c r="H30" s="21" t="n">
        <x:v>1421059</x:v>
      </x:c>
      <x:c r="I30" s="22" t="n">
        <x:v>0.0147</x:v>
      </x:c>
      <x:c r="J30" s="23" t="n">
        <x:f>G30*I30</x:f>
        <x:v>0.2205</x:v>
      </x:c>
      <x:c r="K30" s="18" t="str">
        <x:v>In stock</x:v>
      </x:c>
      <x:c r="L30" s="18" t="str">
        <x:v>C2146</x:v>
      </x:c>
      <x:c r="M30" s="18" t="str">
        <x:v>S8050 J3Y(RANGE:200-350)</x:v>
      </x:c>
      <x:c r="N30" s="18" t="str">
        <x:v>Jiangsu Changjing Electronics Technology Co., Ltd.</x:v>
      </x:c>
      <x:c r="O30" s="18" t="n">
        <x:v>10</x:v>
      </x:c>
      <x:c r="P30" s="18" t="n">
        <x:v>5</x:v>
      </x:c>
      <x:c r="Q30" s="18" t="str">
        <x:v>JLC assembly</x:v>
      </x:c>
      <x:c r="R30" s="19" t="str">
        <x:v>Two Basic S8050s plus two existing-type 10k base resistors replace unavailable EMH4T2R (Q1).</x:v>
      </x:c>
      <x:c r="S30" s="18" t="str">
        <x:v>https://jlcpcb.com/partdetail/part/C2146</x:v>
      </x:c>
    </x:row>
    <x:row r="31" ht="36" customHeight="1">
      <x:c r="A31" s="11" t="str">
        <x:v>Basic</x:v>
      </x:c>
      <x:c r="B31" s="12" t="str">
        <x:v>C75, C87, C90, C91, C97, C98, C100, C135</x:v>
      </x:c>
      <x:c r="C31" s="12" t="str">
        <x:v>1uF</x:v>
      </x:c>
      <x:c r="D31" s="13" t="str">
        <x:v>0603</x:v>
      </x:c>
      <x:c r="E31" s="14" t="n">
        <x:v>8</x:v>
      </x:c>
      <x:c r="F31" s="14" t="n">
        <x:f>E31*$B$4</x:f>
        <x:v>40</x:v>
      </x:c>
      <x:c r="G31" s="14" t="n">
        <x:f>MAX(F31+P31,O31)</x:f>
        <x:v>50</x:v>
      </x:c>
      <x:c r="H31" s="14" t="n">
        <x:v>15235435</x:v>
      </x:c>
      <x:c r="I31" s="15" t="n">
        <x:v>0.0153</x:v>
      </x:c>
      <x:c r="J31" s="16" t="n">
        <x:f>G31*I31</x:f>
        <x:v>0.765</x:v>
      </x:c>
      <x:c r="K31" s="11" t="str">
        <x:v>In stock</x:v>
      </x:c>
      <x:c r="L31" s="11" t="str">
        <x:v>C15849</x:v>
      </x:c>
      <x:c r="M31" s="11" t="str">
        <x:v>CL10A105KB8NNNC</x:v>
      </x:c>
      <x:c r="N31" s="11" t="str">
        <x:v>Samsung Electro-Mechanics</x:v>
      </x:c>
      <x:c r="O31" s="11" t="n">
        <x:v>20</x:v>
      </x:c>
      <x:c r="P31" s="11" t="n">
        <x:v>10</x:v>
      </x:c>
      <x:c r="Q31" s="11" t="str">
        <x:v>JLC assembly</x:v>
      </x:c>
      <x:c r="R31" s="12" t="str"/>
      <x:c r="S31" s="11" t="str">
        <x:v>https://jlcpcb.com/partdetail/part/C15849</x:v>
      </x:c>
    </x:row>
    <x:row r="32" ht="26" customHeight="1">
      <x:c r="A32" s="18" t="str">
        <x:v>Basic</x:v>
      </x:c>
      <x:c r="B32" s="19" t="str">
        <x:v>D1</x:v>
      </x:c>
      <x:c r="C32" s="19" t="str">
        <x:v>Green LED</x:v>
      </x:c>
      <x:c r="D32" s="20" t="str">
        <x:v>0805</x:v>
      </x:c>
      <x:c r="E32" s="21" t="n">
        <x:v>1</x:v>
      </x:c>
      <x:c r="F32" s="21" t="n">
        <x:f>E32*$B$4</x:f>
        <x:v>5</x:v>
      </x:c>
      <x:c r="G32" s="21" t="n">
        <x:f>MAX(F32+P32,O32)</x:f>
        <x:v>20</x:v>
      </x:c>
      <x:c r="H32" s="21" t="n">
        <x:v>2611569</x:v>
      </x:c>
      <x:c r="I32" s="22" t="n">
        <x:v>0.0164</x:v>
      </x:c>
      <x:c r="J32" s="23" t="n">
        <x:f>G32*I32</x:f>
        <x:v>0.328</x:v>
      </x:c>
      <x:c r="K32" s="18" t="str">
        <x:v>In stock</x:v>
      </x:c>
      <x:c r="L32" s="18" t="str">
        <x:v>C2297</x:v>
      </x:c>
      <x:c r="M32" s="18" t="str">
        <x:v>KT-0805G</x:v>
      </x:c>
      <x:c r="N32" s="18" t="str">
        <x:v>Hubei KENTO Elec</x:v>
      </x:c>
      <x:c r="O32" s="18" t="n">
        <x:v>20</x:v>
      </x:c>
      <x:c r="P32" s="18" t="n">
        <x:v>10</x:v>
      </x:c>
      <x:c r="Q32" s="18" t="str">
        <x:v>JLC assembly</x:v>
      </x:c>
      <x:c r="R32" s="19" t="str">
        <x:v>Changed indicator to Basic 0805 green LED with matching footprint.</x:v>
      </x:c>
      <x:c r="S32" s="18" t="str">
        <x:v>https://jlcpcb.com/partdetail/part/C2297</x:v>
      </x:c>
    </x:row>
    <x:row r="33" ht="26" customHeight="1">
      <x:c r="A33" s="11" t="str">
        <x:v>Basic</x:v>
      </x:c>
      <x:c r="B33" s="12" t="str">
        <x:v>C4, C119, C120</x:v>
      </x:c>
      <x:c r="C33" s="12" t="str">
        <x:v>4.7uF</x:v>
      </x:c>
      <x:c r="D33" s="13" t="str">
        <x:v>0603</x:v>
      </x:c>
      <x:c r="E33" s="14" t="n">
        <x:v>3</x:v>
      </x:c>
      <x:c r="F33" s="14" t="n">
        <x:f>E33*$B$4</x:f>
        <x:v>15</x:v>
      </x:c>
      <x:c r="G33" s="14" t="n">
        <x:f>MAX(F33+P33,O33)</x:f>
        <x:v>25</x:v>
      </x:c>
      <x:c r="H33" s="14" t="n">
        <x:v>3459949</x:v>
      </x:c>
      <x:c r="I33" s="15" t="n">
        <x:v>0.0218</x:v>
      </x:c>
      <x:c r="J33" s="16" t="n">
        <x:f>G33*I33</x:f>
        <x:v>0.545</x:v>
      </x:c>
      <x:c r="K33" s="11" t="str">
        <x:v>In stock</x:v>
      </x:c>
      <x:c r="L33" s="11" t="str">
        <x:v>C19666</x:v>
      </x:c>
      <x:c r="M33" s="11" t="str">
        <x:v>CL10A475KO8NNNC</x:v>
      </x:c>
      <x:c r="N33" s="11" t="str">
        <x:v>Samsung Electro-Mechanics</x:v>
      </x:c>
      <x:c r="O33" s="11" t="n">
        <x:v>20</x:v>
      </x:c>
      <x:c r="P33" s="11" t="n">
        <x:v>10</x:v>
      </x:c>
      <x:c r="Q33" s="11" t="str">
        <x:v>JLC assembly</x:v>
      </x:c>
      <x:c r="R33" s="12" t="str"/>
      <x:c r="S33" s="11" t="str">
        <x:v>https://jlcpcb.com/partdetail/part/C19666</x:v>
      </x:c>
    </x:row>
    <x:row r="34" ht="36" customHeight="1">
      <x:c r="A34" s="18" t="str">
        <x:v>Basic</x:v>
      </x:c>
      <x:c r="B34" s="19" t="str">
        <x:v>C9, C11, C13, C15, C21, C31, C32, C76, C106, C108, C111, C113, C128, C134</x:v>
      </x:c>
      <x:c r="C34" s="19" t="str">
        <x:v>10uF</x:v>
      </x:c>
      <x:c r="D34" s="20" t="str">
        <x:v>0603</x:v>
      </x:c>
      <x:c r="E34" s="21" t="n">
        <x:v>14</x:v>
      </x:c>
      <x:c r="F34" s="21" t="n">
        <x:f>E34*$B$4</x:f>
        <x:v>70</x:v>
      </x:c>
      <x:c r="G34" s="21" t="n">
        <x:f>MAX(F34+P34,O34)</x:f>
        <x:v>80</x:v>
      </x:c>
      <x:c r="H34" s="21" t="n">
        <x:v>10697332</x:v>
      </x:c>
      <x:c r="I34" s="22" t="n">
        <x:v>0.0272</x:v>
      </x:c>
      <x:c r="J34" s="23" t="n">
        <x:f>G34*I34</x:f>
        <x:v>2.1759999999999997</x:v>
      </x:c>
      <x:c r="K34" s="18" t="str">
        <x:v>In stock</x:v>
      </x:c>
      <x:c r="L34" s="18" t="str">
        <x:v>C19702</x:v>
      </x:c>
      <x:c r="M34" s="18" t="str">
        <x:v>CL10A106KP8NNNC</x:v>
      </x:c>
      <x:c r="N34" s="18" t="str">
        <x:v>Samsung Electro-Mechanics</x:v>
      </x:c>
      <x:c r="O34" s="18" t="n">
        <x:v>20</x:v>
      </x:c>
      <x:c r="P34" s="18" t="n">
        <x:v>10</x:v>
      </x:c>
      <x:c r="Q34" s="18" t="str">
        <x:v>JLC assembly</x:v>
      </x:c>
      <x:c r="R34" s="19" t="str"/>
      <x:c r="S34" s="18" t="str">
        <x:v>https://jlcpcb.com/partdetail/part/C19702</x:v>
      </x:c>
    </x:row>
    <x:row r="35" ht="26" customHeight="1">
      <x:c r="A35" s="11" t="str">
        <x:v>Basic</x:v>
      </x:c>
      <x:c r="B35" s="12" t="str">
        <x:v>C121, C130</x:v>
      </x:c>
      <x:c r="C35" s="12" t="str">
        <x:v>22uF</x:v>
      </x:c>
      <x:c r="D35" s="13" t="str">
        <x:v>0603</x:v>
      </x:c>
      <x:c r="E35" s="14" t="n">
        <x:v>2</x:v>
      </x:c>
      <x:c r="F35" s="14" t="n">
        <x:f>E35*$B$4</x:f>
        <x:v>10</x:v>
      </x:c>
      <x:c r="G35" s="14" t="n">
        <x:f>MAX(F35+P35,O35)</x:f>
        <x:v>20</x:v>
      </x:c>
      <x:c r="H35" s="14" t="n">
        <x:v>7011157</x:v>
      </x:c>
      <x:c r="I35" s="15" t="n">
        <x:v>0.0312</x:v>
      </x:c>
      <x:c r="J35" s="16" t="n">
        <x:f>G35*I35</x:f>
        <x:v>0.624</x:v>
      </x:c>
      <x:c r="K35" s="11" t="str">
        <x:v>In stock</x:v>
      </x:c>
      <x:c r="L35" s="11" t="str">
        <x:v>C59461</x:v>
      </x:c>
      <x:c r="M35" s="11" t="str">
        <x:v>CL10A226MQ8NRNC</x:v>
      </x:c>
      <x:c r="N35" s="11" t="str">
        <x:v>Samsung Electro-Mechanics</x:v>
      </x:c>
      <x:c r="O35" s="11" t="n">
        <x:v>20</x:v>
      </x:c>
      <x:c r="P35" s="11" t="n">
        <x:v>10</x:v>
      </x:c>
      <x:c r="Q35" s="11" t="str">
        <x:v>JLC assembly</x:v>
      </x:c>
      <x:c r="R35" s="12" t="str">
        <x:v>22uF 6.3V X5R 0603 on the P4 low-voltage core rail; Basic replacement for 16V part.</x:v>
      </x:c>
      <x:c r="S35" s="11" t="str">
        <x:v>https://jlcpcb.com/partdetail/part/C59461</x:v>
      </x:c>
    </x:row>
    <x:row r="36" ht="26" customHeight="1">
      <x:c r="A36" s="18" t="str">
        <x:v>Basic</x:v>
      </x:c>
      <x:c r="B36" s="19" t="str">
        <x:v>D3</x:v>
      </x:c>
      <x:c r="C36" s="19" t="str">
        <x:v>SS34</x:v>
      </x:c>
      <x:c r="D36" s="20" t="str">
        <x:v>SMA(DO-214AC)</x:v>
      </x:c>
      <x:c r="E36" s="21" t="n">
        <x:v>1</x:v>
      </x:c>
      <x:c r="F36" s="21" t="n">
        <x:f>E36*$B$4</x:f>
        <x:v>5</x:v>
      </x:c>
      <x:c r="G36" s="21" t="n">
        <x:f>MAX(F36+P36,O36)</x:f>
        <x:v>13</x:v>
      </x:c>
      <x:c r="H36" s="21" t="n">
        <x:v>3811369</x:v>
      </x:c>
      <x:c r="I36" s="22" t="n">
        <x:v>0.035</x:v>
      </x:c>
      <x:c r="J36" s="23" t="n">
        <x:f>G36*I36</x:f>
        <x:v>0.45500000000000007</x:v>
      </x:c>
      <x:c r="K36" s="18" t="str">
        <x:v>In stock</x:v>
      </x:c>
      <x:c r="L36" s="18" t="str">
        <x:v>C8678</x:v>
      </x:c>
      <x:c r="M36" s="18" t="str">
        <x:v>SS34</x:v>
      </x:c>
      <x:c r="N36" s="18" t="str">
        <x:v>MDD(Microdiode Semiconductor)</x:v>
      </x:c>
      <x:c r="O36" s="18" t="n">
        <x:v>5</x:v>
      </x:c>
      <x:c r="P36" s="18" t="n">
        <x:v>8</x:v>
      </x:c>
      <x:c r="Q36" s="18" t="str">
        <x:v>JLC assembly</x:v>
      </x:c>
      <x:c r="R36" s="19" t="str"/>
      <x:c r="S36" s="18" t="str">
        <x:v>https://jlcpcb.com/partdetail/part/C8678</x:v>
      </x:c>
    </x:row>
    <x:row r="37" ht="26" customHeight="1">
      <x:c r="A37" s="11" t="str">
        <x:v>Basic</x:v>
      </x:c>
      <x:c r="B37" s="12" t="str">
        <x:v>C66, C81, C138</x:v>
      </x:c>
      <x:c r="C37" s="12" t="str">
        <x:v>10uF</x:v>
      </x:c>
      <x:c r="D37" s="13" t="str">
        <x:v>0805</x:v>
      </x:c>
      <x:c r="E37" s="14" t="n">
        <x:v>3</x:v>
      </x:c>
      <x:c r="F37" s="14" t="n">
        <x:f>E37*$B$4</x:f>
        <x:v>15</x:v>
      </x:c>
      <x:c r="G37" s="14" t="n">
        <x:f>MAX(F37+P37,O37)</x:f>
        <x:v>25</x:v>
      </x:c>
      <x:c r="H37" s="14" t="n">
        <x:v>6398282</x:v>
      </x:c>
      <x:c r="I37" s="15" t="n">
        <x:v>0.0874</x:v>
      </x:c>
      <x:c r="J37" s="16" t="n">
        <x:f>G37*I37</x:f>
        <x:v>2.185</x:v>
      </x:c>
      <x:c r="K37" s="11" t="str">
        <x:v>In stock</x:v>
      </x:c>
      <x:c r="L37" s="11" t="str">
        <x:v>C15850</x:v>
      </x:c>
      <x:c r="M37" s="11" t="str">
        <x:v>CL21A106KAYNNNE</x:v>
      </x:c>
      <x:c r="N37" s="11" t="str">
        <x:v>Samsung Electro-Mechanics</x:v>
      </x:c>
      <x:c r="O37" s="11" t="n">
        <x:v>20</x:v>
      </x:c>
      <x:c r="P37" s="11" t="n">
        <x:v>10</x:v>
      </x:c>
      <x:c r="Q37" s="11" t="str">
        <x:v>JLC assembly</x:v>
      </x:c>
      <x:c r="R37" s="12" t="str">
        <x:v>10uF 0805. Corrects C138 code/footprint mismatch; also C66/C81.</x:v>
      </x:c>
      <x:c r="S37" s="11" t="str">
        <x:v>https://jlcpcb.com/partdetail/part/C15850</x:v>
      </x:c>
    </x:row>
    <x:row r="38" ht="26" customHeight="1">
      <x:c r="A38" s="18" t="str">
        <x:v>Basic</x:v>
      </x:c>
      <x:c r="B38" s="19" t="str">
        <x:v>Q3</x:v>
      </x:c>
      <x:c r="C38" s="19" t="str">
        <x:v>AO3400A</x:v>
      </x:c>
      <x:c r="D38" s="20" t="str">
        <x:v>SOT-23</x:v>
      </x:c>
      <x:c r="E38" s="21" t="n">
        <x:v>1</x:v>
      </x:c>
      <x:c r="F38" s="21" t="n">
        <x:f>E38*$B$4</x:f>
        <x:v>5</x:v>
      </x:c>
      <x:c r="G38" s="21" t="n">
        <x:f>MAX(F38+P38,O38)</x:f>
        <x:v>9</x:v>
      </x:c>
      <x:c r="H38" s="21" t="n">
        <x:v>1065444</x:v>
      </x:c>
      <x:c r="I38" s="22" t="n">
        <x:v>0.0972</x:v>
      </x:c>
      <x:c r="J38" s="23" t="n">
        <x:f>G38*I38</x:f>
        <x:v>0.8747999999999999</x:v>
      </x:c>
      <x:c r="K38" s="18" t="str">
        <x:v>In stock</x:v>
      </x:c>
      <x:c r="L38" s="18" t="str">
        <x:v>C20917</x:v>
      </x:c>
      <x:c r="M38" s="18" t="str">
        <x:v>AO3400A</x:v>
      </x:c>
      <x:c r="N38" s="18" t="str">
        <x:v>Alpha &amp; Omega Semicon</x:v>
      </x:c>
      <x:c r="O38" s="18" t="n">
        <x:v>5</x:v>
      </x:c>
      <x:c r="P38" s="18" t="n">
        <x:v>4</x:v>
      </x:c>
      <x:c r="Q38" s="18" t="str">
        <x:v>JLC assembly</x:v>
      </x:c>
      <x:c r="R38" s="19" t="str"/>
      <x:c r="S38" s="18" t="str">
        <x:v>https://jlcpcb.com/partdetail/part/C20917</x:v>
      </x:c>
    </x:row>
    <x:row r="39" ht="26" customHeight="1">
      <x:c r="A39" s="11" t="str">
        <x:v>Basic</x:v>
      </x:c>
      <x:c r="B39" s="12" t="str">
        <x:v>Q2</x:v>
      </x:c>
      <x:c r="C39" s="12" t="str">
        <x:v>AO3401A</x:v>
      </x:c>
      <x:c r="D39" s="13" t="str">
        <x:v>SOT-23</x:v>
      </x:c>
      <x:c r="E39" s="14" t="n">
        <x:v>1</x:v>
      </x:c>
      <x:c r="F39" s="14" t="n">
        <x:f>E39*$B$4</x:f>
        <x:v>5</x:v>
      </x:c>
      <x:c r="G39" s="14" t="n">
        <x:f>MAX(F39+P39,O39)</x:f>
        <x:v>9</x:v>
      </x:c>
      <x:c r="H39" s="14" t="n">
        <x:v>746220</x:v>
      </x:c>
      <x:c r="I39" s="15" t="n">
        <x:v>0.1021</x:v>
      </x:c>
      <x:c r="J39" s="16" t="n">
        <x:f>G39*I39</x:f>
        <x:v>0.9188999999999999</x:v>
      </x:c>
      <x:c r="K39" s="11" t="str">
        <x:v>In stock</x:v>
      </x:c>
      <x:c r="L39" s="11" t="str">
        <x:v>C15127</x:v>
      </x:c>
      <x:c r="M39" s="11" t="str">
        <x:v>AO3401A</x:v>
      </x:c>
      <x:c r="N39" s="11" t="str">
        <x:v>Alpha &amp; Omega Semicon</x:v>
      </x:c>
      <x:c r="O39" s="11" t="n">
        <x:v>5</x:v>
      </x:c>
      <x:c r="P39" s="11" t="n">
        <x:v>4</x:v>
      </x:c>
      <x:c r="Q39" s="11" t="str">
        <x:v>JLC assembly</x:v>
      </x:c>
      <x:c r="R39" s="12" t="str"/>
      <x:c r="S39" s="11" t="str">
        <x:v>https://jlcpcb.com/partdetail/part/C15127</x:v>
      </x:c>
    </x:row>
    <x:row r="40" ht="26" customHeight="1">
      <x:c r="A40" s="18" t="str">
        <x:v>Basic</x:v>
      </x:c>
      <x:c r="B40" s="19" t="str">
        <x:v>C3, C7</x:v>
      </x:c>
      <x:c r="C40" s="19" t="str">
        <x:v>100uF</x:v>
      </x:c>
      <x:c r="D40" s="20" t="str">
        <x:v>1206</x:v>
      </x:c>
      <x:c r="E40" s="21" t="n">
        <x:v>2</x:v>
      </x:c>
      <x:c r="F40" s="21" t="n">
        <x:f>E40*$B$4</x:f>
        <x:v>10</x:v>
      </x:c>
      <x:c r="G40" s="21" t="n">
        <x:f>MAX(F40+P40,O40)</x:f>
        <x:v>14</x:v>
      </x:c>
      <x:c r="H40" s="21" t="n">
        <x:v>1293050</x:v>
      </x:c>
      <x:c r="I40" s="22" t="n">
        <x:v>0.1393</x:v>
      </x:c>
      <x:c r="J40" s="23" t="n">
        <x:f>G40*I40</x:f>
        <x:v>1.9502000000000002</x:v>
      </x:c>
      <x:c r="K40" s="18" t="str">
        <x:v>In stock</x:v>
      </x:c>
      <x:c r="L40" s="18" t="str">
        <x:v>C15008</x:v>
      </x:c>
      <x:c r="M40" s="18" t="str">
        <x:v>CL31A107MQHNNNE</x:v>
      </x:c>
      <x:c r="N40" s="18" t="str">
        <x:v>Samsung Electro-Mechanics</x:v>
      </x:c>
      <x:c r="O40" s="18" t="n">
        <x:v>5</x:v>
      </x:c>
      <x:c r="P40" s="18" t="n">
        <x:v>4</x:v>
      </x:c>
      <x:c r="Q40" s="18" t="str">
        <x:v>JLC assembly</x:v>
      </x:c>
      <x:c r="R40" s="19" t="str">
        <x:v>100uF 1206 bulk capacitors; retain specified footprint.</x:v>
      </x:c>
      <x:c r="S40" s="18" t="str">
        <x:v>https://jlcpcb.com/partdetail/part/C15008</x:v>
      </x:c>
    </x:row>
    <x:row r="41" ht="26" customHeight="1">
      <x:c r="A41" s="11" t="str">
        <x:v>Basic</x:v>
      </x:c>
      <x:c r="B41" s="12" t="str">
        <x:v>Y2</x:v>
      </x:c>
      <x:c r="C41" s="12" t="str">
        <x:v>32.768Khz</x:v>
      </x:c>
      <x:c r="D41" s="13" t="str">
        <x:v>SMD3215-2P</x:v>
      </x:c>
      <x:c r="E41" s="14" t="n">
        <x:v>1</x:v>
      </x:c>
      <x:c r="F41" s="14" t="n">
        <x:f>E41*$B$4</x:f>
        <x:v>5</x:v>
      </x:c>
      <x:c r="G41" s="14" t="n">
        <x:f>MAX(F41+P41,O41)</x:f>
        <x:v>6</x:v>
      </x:c>
      <x:c r="H41" s="14" t="n">
        <x:v>223998</x:v>
      </x:c>
      <x:c r="I41" s="15" t="n">
        <x:v>0.1725</x:v>
      </x:c>
      <x:c r="J41" s="16" t="n">
        <x:f>G41*I41</x:f>
        <x:v>1.035</x:v>
      </x:c>
      <x:c r="K41" s="11" t="str">
        <x:v>In stock</x:v>
      </x:c>
      <x:c r="L41" s="11" t="str">
        <x:v>C32346</x:v>
      </x:c>
      <x:c r="M41" s="11" t="str">
        <x:v>Q13FC13500004</x:v>
      </x:c>
      <x:c r="N41" s="11" t="str">
        <x:v>Seiko Epson</x:v>
      </x:c>
      <x:c r="O41" s="11" t="n">
        <x:v>5</x:v>
      </x:c>
      <x:c r="P41" s="11" t="n">
        <x:v>1</x:v>
      </x:c>
      <x:c r="Q41" s="11" t="str">
        <x:v>JLC assembly</x:v>
      </x:c>
      <x:c r="R41" s="12" t="str"/>
      <x:c r="S41" s="11" t="str">
        <x:v>https://jlcpcb.com/partdetail/part/C32346</x:v>
      </x:c>
    </x:row>
    <x:row r="42" ht="26" customHeight="1">
      <x:c r="A42" s="18" t="str">
        <x:v>Basic</x:v>
      </x:c>
      <x:c r="B42" s="19" t="str">
        <x:v>C20, C88</x:v>
      </x:c>
      <x:c r="C42" s="19" t="str">
        <x:v>22uF</x:v>
      </x:c>
      <x:c r="D42" s="20" t="str">
        <x:v>0805</x:v>
      </x:c>
      <x:c r="E42" s="21" t="n">
        <x:v>2</x:v>
      </x:c>
      <x:c r="F42" s="21" t="n">
        <x:f>E42*$B$4</x:f>
        <x:v>10</x:v>
      </x:c>
      <x:c r="G42" s="21" t="n">
        <x:f>MAX(F42+P42,O42)</x:f>
        <x:v>14</x:v>
      </x:c>
      <x:c r="H42" s="21" t="n">
        <x:v>3676747</x:v>
      </x:c>
      <x:c r="I42" s="22" t="n">
        <x:v>0.194</x:v>
      </x:c>
      <x:c r="J42" s="23" t="n">
        <x:f>G42*I42</x:f>
        <x:v>2.716</x:v>
      </x:c>
      <x:c r="K42" s="18" t="str">
        <x:v>In stock</x:v>
      </x:c>
      <x:c r="L42" s="18" t="str">
        <x:v>C45783</x:v>
      </x:c>
      <x:c r="M42" s="18" t="str">
        <x:v>CL21A226MAQNNNE</x:v>
      </x:c>
      <x:c r="N42" s="18" t="str">
        <x:v>Samsung Electro-Mechanics</x:v>
      </x:c>
      <x:c r="O42" s="18" t="n">
        <x:v>2</x:v>
      </x:c>
      <x:c r="P42" s="18" t="n">
        <x:v>4</x:v>
      </x:c>
      <x:c r="Q42" s="18" t="str">
        <x:v>JLC assembly</x:v>
      </x:c>
      <x:c r="R42" s="19" t="str">
        <x:v>22uF 0805 bulk capacitors; retain specified footprint.</x:v>
      </x:c>
      <x:c r="S42" s="18" t="str">
        <x:v>https://jlcpcb.com/partdetail/part/C45783</x:v>
      </x:c>
    </x:row>
    <x:row r="43" ht="36" customHeight="1">
      <x:c r="A43" s="11" t="str">
        <x:v>Extended</x:v>
      </x:c>
      <x:c r="B43" s="12" t="str">
        <x:v>R60</x:v>
      </x:c>
      <x:c r="C43" s="12" t="str">
        <x:v>60.4k</x:v>
      </x:c>
      <x:c r="D43" s="13" t="str">
        <x:v>0603</x:v>
      </x:c>
      <x:c r="E43" s="14" t="n">
        <x:v>1</x:v>
      </x:c>
      <x:c r="F43" s="14" t="n">
        <x:f>E43*$B$4</x:f>
        <x:v>5</x:v>
      </x:c>
      <x:c r="G43" s="14" t="n">
        <x:f>MAX(F43+P43,O43)</x:f>
        <x:v>20</x:v>
      </x:c>
      <x:c r="H43" s="14" t="n">
        <x:v>86910</x:v>
      </x:c>
      <x:c r="I43" s="15" t="n">
        <x:v>0.0015</x:v>
      </x:c>
      <x:c r="J43" s="16" t="n">
        <x:f>G43*I43</x:f>
        <x:v>0.03</x:v>
      </x:c>
      <x:c r="K43" s="11" t="str">
        <x:v>In stock</x:v>
      </x:c>
      <x:c r="L43" s="11" t="str">
        <x:v>C23089</x:v>
      </x:c>
      <x:c r="M43" s="11" t="str">
        <x:v>0603WAF6042T5E</x:v>
      </x:c>
      <x:c r="N43" s="11" t="str">
        <x:v>UNI-ROYAL(Uniroyal Elec)</x:v>
      </x:c>
      <x:c r="O43" s="11" t="n">
        <x:v>20</x:v>
      </x:c>
      <x:c r="P43" s="11" t="n">
        <x:v>10</x:v>
      </x:c>
      <x:c r="Q43" s="11" t="str">
        <x:v>JLC assembly</x:v>
      </x:c>
      <x:c r="R43" s="12" t="str">
        <x:v>60.4k 1% sets a conservative upper current limit below 500mA, allowing for tolerance. Typical trip is lower.</x:v>
      </x:c>
      <x:c r="S43" s="11" t="str">
        <x:v>https://jlcpcb.com/partdetail/part/C23089</x:v>
      </x:c>
    </x:row>
    <x:row r="44" ht="26" customHeight="1">
      <x:c r="A44" s="18" t="str">
        <x:v>Extended</x:v>
      </x:c>
      <x:c r="B44" s="19" t="str">
        <x:v>R49, R50</x:v>
      </x:c>
      <x:c r="C44" s="19" t="str">
        <x:v>499k</x:v>
      </x:c>
      <x:c r="D44" s="20" t="str">
        <x:v>0603</x:v>
      </x:c>
      <x:c r="E44" s="21" t="n">
        <x:v>2</x:v>
      </x:c>
      <x:c r="F44" s="21" t="n">
        <x:f>E44*$B$4</x:f>
        <x:v>10</x:v>
      </x:c>
      <x:c r="G44" s="21" t="n">
        <x:f>MAX(F44+P44,O44)</x:f>
        <x:v>20</x:v>
      </x:c>
      <x:c r="H44" s="21" t="n">
        <x:v>135992</x:v>
      </x:c>
      <x:c r="I44" s="22" t="n">
        <x:v>0.0016</x:v>
      </x:c>
      <x:c r="J44" s="23" t="n">
        <x:f>G44*I44</x:f>
        <x:v>0.032</x:v>
      </x:c>
      <x:c r="K44" s="18" t="str">
        <x:v>In stock</x:v>
      </x:c>
      <x:c r="L44" s="18" t="str">
        <x:v>C26751</x:v>
      </x:c>
      <x:c r="M44" s="18" t="str">
        <x:v>0603WAF4993T5E</x:v>
      </x:c>
      <x:c r="N44" s="18" t="str">
        <x:v>UNI-ROYAL(Uniroyal Elec)</x:v>
      </x:c>
      <x:c r="O44" s="18" t="n">
        <x:v>20</x:v>
      </x:c>
      <x:c r="P44" s="18" t="n">
        <x:v>10</x:v>
      </x:c>
      <x:c r="Q44" s="18" t="str">
        <x:v>JLC assembly</x:v>
      </x:c>
      <x:c r="R44" s="19" t="str">
        <x:v>499k 1% feedback resistors required for P4 v3.x. Extended; no exact Basic value found.</x:v>
      </x:c>
      <x:c r="S44" s="18" t="str">
        <x:v>https://jlcpcb.com/partdetail/part/C26751</x:v>
      </x:c>
    </x:row>
    <x:row r="45" ht="26" customHeight="1">
      <x:c r="A45" s="11" t="str">
        <x:v>Extended</x:v>
      </x:c>
      <x:c r="B45" s="12" t="str">
        <x:v>R26</x:v>
      </x:c>
      <x:c r="C45" s="12" t="str">
        <x:v>16R 0.5W</x:v>
      </x:c>
      <x:c r="D45" s="13" t="str">
        <x:v>1210</x:v>
      </x:c>
      <x:c r="E45" s="14" t="n">
        <x:v>1</x:v>
      </x:c>
      <x:c r="F45" s="14" t="n">
        <x:f>E45*$B$4</x:f>
        <x:v>5</x:v>
      </x:c>
      <x:c r="G45" s="14" t="n">
        <x:f>MAX(F45+P45,O45)</x:f>
        <x:v>15</x:v>
      </x:c>
      <x:c r="H45" s="14" t="n">
        <x:v>18696</x:v>
      </x:c>
      <x:c r="I45" s="15" t="n">
        <x:v>0.0092</x:v>
      </x:c>
      <x:c r="J45" s="16" t="n">
        <x:f>G45*I45</x:f>
        <x:v>0.138</x:v>
      </x:c>
      <x:c r="K45" s="11" t="str">
        <x:v>In stock</x:v>
      </x:c>
      <x:c r="L45" s="11" t="str">
        <x:v>C2974063</x:v>
      </x:c>
      <x:c r="M45" s="11" t="str">
        <x:v>FRC1210F16R0TS</x:v>
      </x:c>
      <x:c r="N45" s="11" t="str">
        <x:v>FOJAN</x:v>
      </x:c>
      <x:c r="O45" s="11" t="n">
        <x:v>15</x:v>
      </x:c>
      <x:c r="P45" s="11" t="n">
        <x:v>4</x:v>
      </x:c>
      <x:c r="Q45" s="11" t="str">
        <x:v>JLC assembly</x:v>
      </x:c>
      <x:c r="R45" s="12" t="str"/>
      <x:c r="S45" s="11" t="str">
        <x:v>https://jlcpcb.com/partdetail/part/C2974063</x:v>
      </x:c>
    </x:row>
    <x:row r="46" ht="26" customHeight="1">
      <x:c r="A46" s="18" t="str">
        <x:v>Extended</x:v>
      </x:c>
      <x:c r="B46" s="19" t="str">
        <x:v>L1</x:v>
      </x:c>
      <x:c r="C46" s="19" t="str">
        <x:v>600R@100MHz Ferrite</x:v>
      </x:c>
      <x:c r="D46" s="20" t="str">
        <x:v>0603</x:v>
      </x:c>
      <x:c r="E46" s="21" t="n">
        <x:v>1</x:v>
      </x:c>
      <x:c r="F46" s="21" t="n">
        <x:f>E46*$B$4</x:f>
        <x:v>5</x:v>
      </x:c>
      <x:c r="G46" s="21" t="n">
        <x:f>MAX(F46+P46,O46)</x:f>
        <x:v>20</x:v>
      </x:c>
      <x:c r="H46" s="21" t="n">
        <x:v>731585</x:v>
      </x:c>
      <x:c r="I46" s="22" t="n">
        <x:v>0.0146</x:v>
      </x:c>
      <x:c r="J46" s="23" t="n">
        <x:f>G46*I46</x:f>
        <x:v>0.292</x:v>
      </x:c>
      <x:c r="K46" s="18" t="str">
        <x:v>In stock</x:v>
      </x:c>
      <x:c r="L46" s="18" t="str">
        <x:v>C107335</x:v>
      </x:c>
      <x:c r="M46" s="18" t="str">
        <x:v>MPZ1608S601ATA00</x:v>
      </x:c>
      <x:c r="N46" s="18" t="str">
        <x:v>TDK</x:v>
      </x:c>
      <x:c r="O46" s="18" t="n">
        <x:v>20</x:v>
      </x:c>
      <x:c r="P46" s="18" t="n">
        <x:v>10</x:v>
      </x:c>
      <x:c r="Q46" s="18" t="str">
        <x:v>JLC assembly</x:v>
      </x:c>
      <x:c r="R46" s="19" t="str">
        <x:v>600ohm audio ferrite retained for its higher current/lower DCR versus the 200mA Basic candidate.</x:v>
      </x:c>
      <x:c r="S46" s="18" t="str">
        <x:v>https://jlcpcb.com/partdetail/part/C107335</x:v>
      </x:c>
    </x:row>
    <x:row r="47" ht="26" customHeight="1">
      <x:c r="A47" s="11" t="str">
        <x:v>Extended</x:v>
      </x:c>
      <x:c r="B47" s="12" t="str">
        <x:v>L2</x:v>
      </x:c>
      <x:c r="C47" s="12" t="str">
        <x:v>1uH</x:v>
      </x:c>
      <x:c r="D47" s="13" t="str">
        <x:v>0806</x:v>
      </x:c>
      <x:c r="E47" s="14" t="n">
        <x:v>1</x:v>
      </x:c>
      <x:c r="F47" s="14" t="n">
        <x:f>E47*$B$4</x:f>
        <x:v>5</x:v>
      </x:c>
      <x:c r="G47" s="14" t="n">
        <x:f>MAX(F47+P47,O47)</x:f>
        <x:v>20</x:v>
      </x:c>
      <x:c r="H47" s="14" t="n">
        <x:v>70</x:v>
      </x:c>
      <x:c r="I47" s="15" t="n">
        <x:v>0.0275</x:v>
      </x:c>
      <x:c r="J47" s="16" t="n">
        <x:f>G47*I47</x:f>
        <x:v>0.55</x:v>
      </x:c>
      <x:c r="K47" s="11" t="str">
        <x:v>In stock</x:v>
      </x:c>
      <x:c r="L47" s="11" t="str">
        <x:v>C20616172</x:v>
      </x:c>
      <x:c r="M47" s="11" t="str">
        <x:v>IMTF201610C1R0MCTB</x:v>
      </x:c>
      <x:c r="N47" s="11" t="str">
        <x:v>INMICRO</x:v>
      </x:c>
      <x:c r="O47" s="11" t="n">
        <x:v>20</x:v>
      </x:c>
      <x:c r="P47" s="11" t="n">
        <x:v>6</x:v>
      </x:c>
      <x:c r="Q47" s="11" t="str">
        <x:v>JLC assembly</x:v>
      </x:c>
      <x:c r="R47" s="12" t="str">
        <x:v>Replaces unavailable 1uH part. 2.8A rated, 3.5A saturation, 58mohm; dedicated manufacturer land pattern.</x:v>
      </x:c>
      <x:c r="S47" s="11" t="str">
        <x:v>https://jlcpcb.com/partdetail/part/C20616172</x:v>
      </x:c>
    </x:row>
    <x:row r="48" ht="26" customHeight="1">
      <x:c r="A48" s="18" t="str">
        <x:v>Extended</x:v>
      </x:c>
      <x:c r="B48" s="19" t="str">
        <x:v>J2, J3</x:v>
      </x:c>
      <x:c r="C48" s="19" t="str">
        <x:v>PJ-320D</x:v>
      </x:c>
      <x:c r="D48" s="20" t="str">
        <x:v>SMD</x:v>
      </x:c>
      <x:c r="E48" s="21" t="n">
        <x:v>2</x:v>
      </x:c>
      <x:c r="F48" s="21" t="n">
        <x:f>E48*$B$4</x:f>
        <x:v>10</x:v>
      </x:c>
      <x:c r="G48" s="21" t="n">
        <x:f>MAX(F48+P48,O48)</x:f>
        <x:v>11</x:v>
      </x:c>
      <x:c r="H48" s="21" t="n">
        <x:v>2673</x:v>
      </x:c>
      <x:c r="I48" s="22" t="n">
        <x:v>0.0301</x:v>
      </x:c>
      <x:c r="J48" s="23" t="n">
        <x:f>G48*I48</x:f>
        <x:v>0.3311</x:v>
      </x:c>
      <x:c r="K48" s="18" t="str">
        <x:v>In stock</x:v>
      </x:c>
      <x:c r="L48" s="18" t="str">
        <x:v>C22459515</x:v>
      </x:c>
      <x:c r="M48" s="18" t="str">
        <x:v>PJ-320D</x:v>
      </x:c>
      <x:c r="N48" s="18" t="str">
        <x:v>HanElectricity</x:v>
      </x:c>
      <x:c r="O48" s="18" t="n">
        <x:v>2</x:v>
      </x:c>
      <x:c r="P48" s="18" t="n">
        <x:v>1</x:v>
      </x:c>
      <x:c r="Q48" s="18" t="str">
        <x:v>JLC assembly</x:v>
      </x:c>
      <x:c r="R48" s="19" t="str"/>
      <x:c r="S48" s="18" t="str">
        <x:v>https://jlcpcb.com/partdetail/part/C22459515</x:v>
      </x:c>
    </x:row>
    <x:row r="49" ht="26" customHeight="1">
      <x:c r="A49" s="11" t="str">
        <x:v>Extended</x:v>
      </x:c>
      <x:c r="B49" s="12" t="str">
        <x:v>SW2</x:v>
      </x:c>
      <x:c r="C49" s="12" t="str">
        <x:v>SKRPACE010</x:v>
      </x:c>
      <x:c r="D49" s="13" t="str">
        <x:v>SMD-4P,4.2x3.2mm</x:v>
      </x:c>
      <x:c r="E49" s="14" t="n">
        <x:v>1</x:v>
      </x:c>
      <x:c r="F49" s="14" t="n">
        <x:f>E49*$B$4</x:f>
        <x:v>5</x:v>
      </x:c>
      <x:c r="G49" s="14" t="n">
        <x:f>MAX(F49+P49,O49)</x:f>
        <x:v>11</x:v>
      </x:c>
      <x:c r="H49" s="14" t="n">
        <x:v>77367</x:v>
      </x:c>
      <x:c r="I49" s="15" t="n">
        <x:v>0.0694</x:v>
      </x:c>
      <x:c r="J49" s="16" t="n">
        <x:f>G49*I49</x:f>
        <x:v>0.7634000000000001</x:v>
      </x:c>
      <x:c r="K49" s="11" t="str">
        <x:v>In stock</x:v>
      </x:c>
      <x:c r="L49" s="11" t="str">
        <x:v>C139797</x:v>
      </x:c>
      <x:c r="M49" s="11" t="str">
        <x:v>SKRPACE010</x:v>
      </x:c>
      <x:c r="N49" s="11" t="str">
        <x:v>ALPSALPINE</x:v>
      </x:c>
      <x:c r="O49" s="11" t="n">
        <x:v>5</x:v>
      </x:c>
      <x:c r="P49" s="11" t="n">
        <x:v>6</x:v>
      </x:c>
      <x:c r="Q49" s="11" t="str">
        <x:v>JLC assembly</x:v>
      </x:c>
      <x:c r="R49" s="12" t="str"/>
      <x:c r="S49" s="11" t="str">
        <x:v>https://jlcpcb.com/partdetail/part/C139797</x:v>
      </x:c>
    </x:row>
    <x:row r="50" ht="26" customHeight="1">
      <x:c r="A50" s="18" t="str">
        <x:v>Extended</x:v>
      </x:c>
      <x:c r="B50" s="19" t="str">
        <x:v>U5</x:v>
      </x:c>
      <x:c r="C50" s="19" t="str">
        <x:v>TLV62569DBVR</x:v>
      </x:c>
      <x:c r="D50" s="20" t="str">
        <x:v>SOT-23-5</x:v>
      </x:c>
      <x:c r="E50" s="21" t="n">
        <x:v>1</x:v>
      </x:c>
      <x:c r="F50" s="21" t="n">
        <x:f>E50*$B$4</x:f>
        <x:v>5</x:v>
      </x:c>
      <x:c r="G50" s="21" t="n">
        <x:f>MAX(F50+P50,O50)</x:f>
        <x:v>9</x:v>
      </x:c>
      <x:c r="H50" s="21" t="n">
        <x:v>455839</x:v>
      </x:c>
      <x:c r="I50" s="22" t="n">
        <x:v>0.0706</x:v>
      </x:c>
      <x:c r="J50" s="23" t="n">
        <x:f>G50*I50</x:f>
        <x:v>0.6354</x:v>
      </x:c>
      <x:c r="K50" s="18" t="str">
        <x:v>In stock</x:v>
      </x:c>
      <x:c r="L50" s="18" t="str">
        <x:v>C141836</x:v>
      </x:c>
      <x:c r="M50" s="18" t="str">
        <x:v>TLV62569DBVR</x:v>
      </x:c>
      <x:c r="N50" s="18" t="str">
        <x:v>Texas Instruments</x:v>
      </x:c>
      <x:c r="O50" s="18" t="n">
        <x:v>5</x:v>
      </x:c>
      <x:c r="P50" s="18" t="n">
        <x:v>4</x:v>
      </x:c>
      <x:c r="Q50" s="18" t="str">
        <x:v>JLC assembly</x:v>
      </x:c>
      <x:c r="R50" s="19" t="str"/>
      <x:c r="S50" s="18" t="str">
        <x:v>https://jlcpcb.com/partdetail/part/C141836</x:v>
      </x:c>
    </x:row>
    <x:row r="51" ht="26" customHeight="1">
      <x:c r="A51" s="11" t="str">
        <x:v>Extended</x:v>
      </x:c>
      <x:c r="B51" s="12" t="str">
        <x:v>Y1</x:v>
      </x:c>
      <x:c r="C51" s="12" t="str">
        <x:v>40Mhz</x:v>
      </x:c>
      <x:c r="D51" s="13" t="str">
        <x:v>SMD3225-4P</x:v>
      </x:c>
      <x:c r="E51" s="14" t="n">
        <x:v>1</x:v>
      </x:c>
      <x:c r="F51" s="14" t="n">
        <x:f>E51*$B$4</x:f>
        <x:v>5</x:v>
      </x:c>
      <x:c r="G51" s="14" t="n">
        <x:f>MAX(F51+P51,O51)</x:f>
        <x:v>9</x:v>
      </x:c>
      <x:c r="H51" s="14" t="n">
        <x:v>863</x:v>
      </x:c>
      <x:c r="I51" s="15" t="n">
        <x:v>0.0724</x:v>
      </x:c>
      <x:c r="J51" s="16" t="n">
        <x:f>G51*I51</x:f>
        <x:v>0.6516000000000001</x:v>
      </x:c>
      <x:c r="K51" s="11" t="str">
        <x:v>In stock</x:v>
      </x:c>
      <x:c r="L51" s="11" t="str">
        <x:v>C5380316</x:v>
      </x:c>
      <x:c r="M51" s="11" t="str">
        <x:v>3225 40M 12PF 10PPM</x:v>
      </x:c>
      <x:c r="N51" s="11" t="str">
        <x:v>SST</x:v>
      </x:c>
      <x:c r="O51" s="11" t="n">
        <x:v>5</x:v>
      </x:c>
      <x:c r="P51" s="11" t="n">
        <x:v>4</x:v>
      </x:c>
      <x:c r="Q51" s="11" t="str">
        <x:v>JLC assembly</x:v>
      </x:c>
      <x:c r="R51" s="12" t="str"/>
      <x:c r="S51" s="11" t="str">
        <x:v>https://jlcpcb.com/partdetail/part/C5380316</x:v>
      </x:c>
    </x:row>
    <x:row r="52" ht="26" customHeight="1">
      <x:c r="A52" s="18" t="str">
        <x:v>Extended</x:v>
      </x:c>
      <x:c r="B52" s="19" t="str">
        <x:v>TS1</x:v>
      </x:c>
      <x:c r="C52" s="19" t="str">
        <x:v>FH34SRJ-6S-0.5SH(50)</x:v>
      </x:c>
      <x:c r="D52" s="20" t="str">
        <x:v>SMD,P=0.5mm,Surface Mount，Right Angle</x:v>
      </x:c>
      <x:c r="E52" s="21" t="n">
        <x:v>1</x:v>
      </x:c>
      <x:c r="F52" s="21" t="n">
        <x:f>E52*$B$4</x:f>
        <x:v>5</x:v>
      </x:c>
      <x:c r="G52" s="21" t="n">
        <x:f>MAX(F52+P52,O52)</x:f>
        <x:v>10</x:v>
      </x:c>
      <x:c r="H52" s="21" t="n">
        <x:v>81000</x:v>
      </x:c>
      <x:c r="I52" s="22" t="n">
        <x:v>0.0912</x:v>
      </x:c>
      <x:c r="J52" s="23" t="n">
        <x:f>G52*I52</x:f>
        <x:v>0.912</x:v>
      </x:c>
      <x:c r="K52" s="18" t="str">
        <x:v>In stock</x:v>
      </x:c>
      <x:c r="L52" s="18" t="str">
        <x:v>C224194</x:v>
      </x:c>
      <x:c r="M52" s="18" t="str">
        <x:v>FH34SRJ-6S-0.5SH(50)</x:v>
      </x:c>
      <x:c r="N52" s="18" t="str">
        <x:v>HRS(Hirose)</x:v>
      </x:c>
      <x:c r="O52" s="18" t="n">
        <x:v>5</x:v>
      </x:c>
      <x:c r="P52" s="18" t="n">
        <x:v>5</x:v>
      </x:c>
      <x:c r="Q52" s="18" t="str">
        <x:v>JLC assembly</x:v>
      </x:c>
      <x:c r="R52" s="19" t="str"/>
      <x:c r="S52" s="18" t="str">
        <x:v>https://jlcpcb.com/partdetail/part/C224194</x:v>
      </x:c>
    </x:row>
    <x:row r="53" ht="26" customHeight="1">
      <x:c r="A53" s="11" t="str">
        <x:v>Extended</x:v>
      </x:c>
      <x:c r="B53" s="12" t="str">
        <x:v>SW3</x:v>
      </x:c>
      <x:c r="C53" s="12" t="str">
        <x:v>SK-12D02-G030</x:v>
      </x:c>
      <x:c r="D53" s="13" t="str">
        <x:v>弯插,8.6x4.7mm</x:v>
      </x:c>
      <x:c r="E53" s="14" t="n">
        <x:v>1</x:v>
      </x:c>
      <x:c r="F53" s="14" t="n">
        <x:f>E53*$B$4</x:f>
        <x:v>5</x:v>
      </x:c>
      <x:c r="G53" s="14" t="n">
        <x:f>MAX(F53+P53,O53)</x:f>
        <x:v>5</x:v>
      </x:c>
      <x:c r="H53" s="14" t="n">
        <x:v>1029</x:v>
      </x:c>
      <x:c r="I53" s="15" t="n">
        <x:v>0.1235</x:v>
      </x:c>
      <x:c r="J53" s="16" t="n">
        <x:f>G53*I53</x:f>
        <x:v>0.6174999999999999</x:v>
      </x:c>
      <x:c r="K53" s="11" t="str">
        <x:v>In stock</x:v>
      </x:c>
      <x:c r="L53" s="11" t="str">
        <x:v>C5446808</x:v>
      </x:c>
      <x:c r="M53" s="11" t="str">
        <x:v>SK-12D02-G030</x:v>
      </x:c>
      <x:c r="N53" s="11" t="str">
        <x:v>G-Switch</x:v>
      </x:c>
      <x:c r="O53" s="11" t="n">
        <x:v>2</x:v>
      </x:c>
      <x:c r="P53" s="11" t="n">
        <x:v>0</x:v>
      </x:c>
      <x:c r="Q53" s="11" t="str">
        <x:v>JLC assembly</x:v>
      </x:c>
      <x:c r="R53" s="12" t="str"/>
      <x:c r="S53" s="11" t="str">
        <x:v>https://jlcpcb.com/partdetail/part/C5446808</x:v>
      </x:c>
    </x:row>
    <x:row r="54" ht="26" customHeight="1">
      <x:c r="A54" s="18" t="str">
        <x:v>Extended</x:v>
      </x:c>
      <x:c r="B54" s="19" t="str">
        <x:v>J1</x:v>
      </x:c>
      <x:c r="C54" s="19" t="str">
        <x:v>TYPE-C-31-M-12</x:v>
      </x:c>
      <x:c r="D54" s="20" t="str">
        <x:v>SMD</x:v>
      </x:c>
      <x:c r="E54" s="21" t="n">
        <x:v>1</x:v>
      </x:c>
      <x:c r="F54" s="21" t="n">
        <x:f>E54*$B$4</x:f>
        <x:v>5</x:v>
      </x:c>
      <x:c r="G54" s="21" t="n">
        <x:f>MAX(F54+P54,O54)</x:f>
        <x:v>5</x:v>
      </x:c>
      <x:c r="H54" s="21" t="n">
        <x:v>355876</x:v>
      </x:c>
      <x:c r="I54" s="22" t="n">
        <x:v>0.1865</x:v>
      </x:c>
      <x:c r="J54" s="23" t="n">
        <x:f>G54*I54</x:f>
        <x:v>0.9325</x:v>
      </x:c>
      <x:c r="K54" s="18" t="str">
        <x:v>In stock</x:v>
      </x:c>
      <x:c r="L54" s="18" t="str">
        <x:v>C165948</x:v>
      </x:c>
      <x:c r="M54" s="18" t="str">
        <x:v>TYPE-C-31-M-12</x:v>
      </x:c>
      <x:c r="N54" s="18" t="str">
        <x:v>Korean Hroparts Elec</x:v>
      </x:c>
      <x:c r="O54" s="18" t="n">
        <x:v>2</x:v>
      </x:c>
      <x:c r="P54" s="18" t="n">
        <x:v>0</x:v>
      </x:c>
      <x:c r="Q54" s="18" t="str">
        <x:v>JLC assembly</x:v>
      </x:c>
      <x:c r="R54" s="19" t="str"/>
      <x:c r="S54" s="18" t="str">
        <x:v>https://jlcpcb.com/partdetail/part/C165948</x:v>
      </x:c>
    </x:row>
    <x:row r="55" ht="26" customHeight="1">
      <x:c r="A55" s="11" t="str">
        <x:v>Extended</x:v>
      </x:c>
      <x:c r="B55" s="12" t="str">
        <x:v>BT1</x:v>
      </x:c>
      <x:c r="C55" s="12" t="str">
        <x:v>BS-12-B3AA011</x:v>
      </x:c>
      <x:c r="D55" s="13" t="str">
        <x:v>-</x:v>
      </x:c>
      <x:c r="E55" s="14" t="n">
        <x:v>1</x:v>
      </x:c>
      <x:c r="F55" s="14" t="n">
        <x:f>E55*$B$4</x:f>
        <x:v>5</x:v>
      </x:c>
      <x:c r="G55" s="14" t="n">
        <x:f>MAX(F55+P55,O55)</x:f>
        <x:v>5</x:v>
      </x:c>
      <x:c r="H55" s="14" t="n">
        <x:v>8939</x:v>
      </x:c>
      <x:c r="I55" s="15" t="n">
        <x:v>0.3013</x:v>
      </x:c>
      <x:c r="J55" s="16" t="n">
        <x:f>G55*I55</x:f>
        <x:v>1.5065</x:v>
      </x:c>
      <x:c r="K55" s="11" t="str">
        <x:v>In stock</x:v>
      </x:c>
      <x:c r="L55" s="11" t="str">
        <x:v>C964729</x:v>
      </x:c>
      <x:c r="M55" s="11" t="str">
        <x:v>BS-12-B3AA011</x:v>
      </x:c>
      <x:c r="N55" s="11" t="str">
        <x:v>MYOUNG</x:v>
      </x:c>
      <x:c r="O55" s="11" t="n">
        <x:v>5</x:v>
      </x:c>
      <x:c r="P55" s="11" t="n">
        <x:v>0</x:v>
      </x:c>
      <x:c r="Q55" s="11" t="str">
        <x:v>JLC assembly</x:v>
      </x:c>
      <x:c r="R55" s="12" t="str"/>
      <x:c r="S55" s="11" t="str">
        <x:v>https://jlcpcb.com/partdetail/part/C964729</x:v>
      </x:c>
    </x:row>
    <x:row r="56" ht="26" customHeight="1">
      <x:c r="A56" s="18" t="str">
        <x:v>Extended</x:v>
      </x:c>
      <x:c r="B56" s="19" t="str">
        <x:v>J9, J12, J13</x:v>
      </x:c>
      <x:c r="C56" s="19" t="str">
        <x:v>S5B-PH-SM4-TB(LF)(SN)</x:v>
      </x:c>
      <x:c r="D56" s="20" t="str">
        <x:v>SMD,P=2mm,Surface Mount，Right Angle</x:v>
      </x:c>
      <x:c r="E56" s="21" t="n">
        <x:v>3</x:v>
      </x:c>
      <x:c r="F56" s="21" t="n">
        <x:f>E56*$B$4</x:f>
        <x:v>15</x:v>
      </x:c>
      <x:c r="G56" s="21" t="n">
        <x:f>MAX(F56+P56,O56)</x:f>
        <x:v>15</x:v>
      </x:c>
      <x:c r="H56" s="21" t="n">
        <x:v>10723</x:v>
      </x:c>
      <x:c r="I56" s="22" t="n">
        <x:v>0.3419</x:v>
      </x:c>
      <x:c r="J56" s="23" t="n">
        <x:f>G56*I56</x:f>
        <x:v>5.1285</x:v>
      </x:c>
      <x:c r="K56" s="18" t="str">
        <x:v>In stock</x:v>
      </x:c>
      <x:c r="L56" s="18" t="str">
        <x:v>C265104</x:v>
      </x:c>
      <x:c r="M56" s="18" t="str">
        <x:v>S5B-PH-SM4-TB(LF)(SN)</x:v>
      </x:c>
      <x:c r="N56" s="18" t="str">
        <x:v>JST</x:v>
      </x:c>
      <x:c r="O56" s="18" t="n">
        <x:v>5</x:v>
      </x:c>
      <x:c r="P56" s="18" t="n">
        <x:v>0</x:v>
      </x:c>
      <x:c r="Q56" s="18" t="str">
        <x:v>JLC assembly</x:v>
      </x:c>
      <x:c r="R56" s="19" t="str"/>
      <x:c r="S56" s="18" t="str">
        <x:v>https://jlcpcb.com/partdetail/part/C265104</x:v>
      </x:c>
    </x:row>
    <x:row r="57" ht="26" customHeight="1">
      <x:c r="A57" s="11" t="str">
        <x:v>Extended</x:v>
      </x:c>
      <x:c r="B57" s="12" t="str">
        <x:v>DS1</x:v>
      </x:c>
      <x:c r="C57" s="12" t="str">
        <x:v>FH34SRJ-40S-0.5SH(50)</x:v>
      </x:c>
      <x:c r="D57" s="13" t="str">
        <x:v>SMD,P=0.5mm,Surface Mount，Right Angle</x:v>
      </x:c>
      <x:c r="E57" s="14" t="n">
        <x:v>1</x:v>
      </x:c>
      <x:c r="F57" s="14" t="n">
        <x:f>E57*$B$4</x:f>
        <x:v>5</x:v>
      </x:c>
      <x:c r="G57" s="14" t="n">
        <x:f>MAX(F57+P57,O57)</x:f>
        <x:v>5</x:v>
      </x:c>
      <x:c r="H57" s="14" t="n">
        <x:v>14103</x:v>
      </x:c>
      <x:c r="I57" s="15" t="n">
        <x:v>0.3935</x:v>
      </x:c>
      <x:c r="J57" s="16" t="n">
        <x:f>G57*I57</x:f>
        <x:v>1.9675</x:v>
      </x:c>
      <x:c r="K57" s="11" t="str">
        <x:v>In stock</x:v>
      </x:c>
      <x:c r="L57" s="11" t="str">
        <x:v>C506798</x:v>
      </x:c>
      <x:c r="M57" s="11" t="str">
        <x:v>FH34SRJ-40S-0.5SH(50)</x:v>
      </x:c>
      <x:c r="N57" s="11" t="str">
        <x:v>HRS(Hirose)</x:v>
      </x:c>
      <x:c r="O57" s="11" t="n">
        <x:v>1</x:v>
      </x:c>
      <x:c r="P57" s="11" t="n">
        <x:v>0</x:v>
      </x:c>
      <x:c r="Q57" s="11" t="str">
        <x:v>JLC assembly</x:v>
      </x:c>
      <x:c r="R57" s="12" t="str"/>
      <x:c r="S57" s="11" t="str">
        <x:v>https://jlcpcb.com/partdetail/part/C506798</x:v>
      </x:c>
    </x:row>
    <x:row r="58" ht="26" customHeight="1">
      <x:c r="A58" s="18" t="str">
        <x:v>Extended</x:v>
      </x:c>
      <x:c r="B58" s="19" t="str">
        <x:v>J10</x:v>
      </x:c>
      <x:c r="C58" s="19" t="str">
        <x:v>S7B-PH-SM4-TB(LF)(SN)</x:v>
      </x:c>
      <x:c r="D58" s="20" t="str">
        <x:v>SMD,P=2mm,Surface Mount，Right Angle</x:v>
      </x:c>
      <x:c r="E58" s="21" t="n">
        <x:v>1</x:v>
      </x:c>
      <x:c r="F58" s="21" t="n">
        <x:f>E58*$B$4</x:f>
        <x:v>5</x:v>
      </x:c>
      <x:c r="G58" s="21" t="n">
        <x:f>MAX(F58+P58,O58)</x:f>
        <x:v>5</x:v>
      </x:c>
      <x:c r="H58" s="21" t="n">
        <x:v>5265</x:v>
      </x:c>
      <x:c r="I58" s="22" t="n">
        <x:v>0.4409</x:v>
      </x:c>
      <x:c r="J58" s="23" t="n">
        <x:f>G58*I58</x:f>
        <x:v>2.2045</x:v>
      </x:c>
      <x:c r="K58" s="18" t="str">
        <x:v>In stock</x:v>
      </x:c>
      <x:c r="L58" s="18" t="str">
        <x:v>C265453</x:v>
      </x:c>
      <x:c r="M58" s="18" t="str">
        <x:v>S7B-PH-SM4-TB(LF)(SN)</x:v>
      </x:c>
      <x:c r="N58" s="18" t="str">
        <x:v>JST</x:v>
      </x:c>
      <x:c r="O58" s="18" t="n">
        <x:v>1</x:v>
      </x:c>
      <x:c r="P58" s="18" t="n">
        <x:v>0</x:v>
      </x:c>
      <x:c r="Q58" s="18" t="str">
        <x:v>JLC assembly</x:v>
      </x:c>
      <x:c r="R58" s="19" t="str"/>
      <x:c r="S58" s="18" t="str">
        <x:v>https://jlcpcb.com/partdetail/part/C265453</x:v>
      </x:c>
    </x:row>
    <x:row r="59" ht="26" customHeight="1">
      <x:c r="A59" s="11" t="str">
        <x:v>Extended</x:v>
      </x:c>
      <x:c r="B59" s="12" t="str">
        <x:v>J11</x:v>
      </x:c>
      <x:c r="C59" s="12" t="str">
        <x:v>S8B-PH-SM4-TB(LF)(SN)</x:v>
      </x:c>
      <x:c r="D59" s="13" t="str">
        <x:v>SMD,P=2mm,Surface Mount，Right Angle</x:v>
      </x:c>
      <x:c r="E59" s="14" t="n">
        <x:v>1</x:v>
      </x:c>
      <x:c r="F59" s="14" t="n">
        <x:f>E59*$B$4</x:f>
        <x:v>5</x:v>
      </x:c>
      <x:c r="G59" s="14" t="n">
        <x:f>MAX(F59+P59,O59)</x:f>
        <x:v>5</x:v>
      </x:c>
      <x:c r="H59" s="14" t="n">
        <x:v>18294</x:v>
      </x:c>
      <x:c r="I59" s="15" t="n">
        <x:v>0.454</x:v>
      </x:c>
      <x:c r="J59" s="16" t="n">
        <x:f>G59*I59</x:f>
        <x:v>2.27</x:v>
      </x:c>
      <x:c r="K59" s="11" t="str">
        <x:v>In stock</x:v>
      </x:c>
      <x:c r="L59" s="11" t="str">
        <x:v>C265121</x:v>
      </x:c>
      <x:c r="M59" s="11" t="str">
        <x:v>S8B-PH-SM4-TB(LF)(SN)</x:v>
      </x:c>
      <x:c r="N59" s="11" t="str">
        <x:v>JST</x:v>
      </x:c>
      <x:c r="O59" s="11" t="n">
        <x:v>1</x:v>
      </x:c>
      <x:c r="P59" s="11" t="n">
        <x:v>0</x:v>
      </x:c>
      <x:c r="Q59" s="11" t="str">
        <x:v>JLC assembly</x:v>
      </x:c>
      <x:c r="R59" s="12" t="str"/>
      <x:c r="S59" s="11" t="str">
        <x:v>https://jlcpcb.com/partdetail/part/C265121</x:v>
      </x:c>
    </x:row>
    <x:row r="60" ht="26" customHeight="1">
      <x:c r="A60" s="18" t="str">
        <x:v>Extended</x:v>
      </x:c>
      <x:c r="B60" s="19" t="str">
        <x:v>U10</x:v>
      </x:c>
      <x:c r="C60" s="19" t="str">
        <x:v>TPS2553DBVR</x:v>
      </x:c>
      <x:c r="D60" s="20" t="str">
        <x:v>SOT-23-6</x:v>
      </x:c>
      <x:c r="E60" s="21" t="n">
        <x:v>1</x:v>
      </x:c>
      <x:c r="F60" s="21" t="n">
        <x:f>E60*$B$4</x:f>
        <x:v>5</x:v>
      </x:c>
      <x:c r="G60" s="21" t="n">
        <x:f>MAX(F60+P60,O60)</x:f>
        <x:v>5</x:v>
      </x:c>
      <x:c r="H60" s="21" t="n">
        <x:v>52909</x:v>
      </x:c>
      <x:c r="I60" s="22" t="n">
        <x:v>0.5405</x:v>
      </x:c>
      <x:c r="J60" s="23" t="n">
        <x:f>G60*I60</x:f>
        <x:v>2.7024999999999997</x:v>
      </x:c>
      <x:c r="K60" s="18" t="str">
        <x:v>In stock</x:v>
      </x:c>
      <x:c r="L60" s="18" t="str">
        <x:v>C55266</x:v>
      </x:c>
      <x:c r="M60" s="18" t="str">
        <x:v>TPS2553DBVR</x:v>
      </x:c>
      <x:c r="N60" s="18" t="str">
        <x:v>Texas Instruments</x:v>
      </x:c>
      <x:c r="O60" s="18" t="n">
        <x:v>5</x:v>
      </x:c>
      <x:c r="P60" s="18" t="n">
        <x:v>0</x:v>
      </x:c>
      <x:c r="Q60" s="18" t="str">
        <x:v>JLC assembly</x:v>
      </x:c>
      <x:c r="R60" s="19" t="str"/>
      <x:c r="S60" s="18" t="str">
        <x:v>https://jlcpcb.com/partdetail/part/C55266</x:v>
      </x:c>
    </x:row>
    <x:row r="61" ht="26" customHeight="1">
      <x:c r="A61" s="11" t="str">
        <x:v>Extended</x:v>
      </x:c>
      <x:c r="B61" s="12" t="str">
        <x:v>U4</x:v>
      </x:c>
      <x:c r="C61" s="12" t="str">
        <x:v>CH340C</x:v>
      </x:c>
      <x:c r="D61" s="13" t="str">
        <x:v>SOP-16</x:v>
      </x:c>
      <x:c r="E61" s="14" t="n">
        <x:v>1</x:v>
      </x:c>
      <x:c r="F61" s="14" t="n">
        <x:f>E61*$B$4</x:f>
        <x:v>5</x:v>
      </x:c>
      <x:c r="G61" s="14" t="n">
        <x:f>MAX(F61+P61,O61)</x:f>
        <x:v>5</x:v>
      </x:c>
      <x:c r="H61" s="14" t="n">
        <x:v>123269</x:v>
      </x:c>
      <x:c r="I61" s="15" t="n">
        <x:v>0.5438</x:v>
      </x:c>
      <x:c r="J61" s="16" t="n">
        <x:f>G61*I61</x:f>
        <x:v>2.719</x:v>
      </x:c>
      <x:c r="K61" s="11" t="str">
        <x:v>In stock</x:v>
      </x:c>
      <x:c r="L61" s="11" t="str">
        <x:v>C84681</x:v>
      </x:c>
      <x:c r="M61" s="11" t="str">
        <x:v>CH340C</x:v>
      </x:c>
      <x:c r="N61" s="11" t="str">
        <x:v>WCH(Jiangsu Qin Heng)</x:v>
      </x:c>
      <x:c r="O61" s="11" t="n">
        <x:v>1</x:v>
      </x:c>
      <x:c r="P61" s="11" t="n">
        <x:v>0</x:v>
      </x:c>
      <x:c r="Q61" s="11" t="str">
        <x:v>JLC assembly</x:v>
      </x:c>
      <x:c r="R61" s="12" t="str"/>
      <x:c r="S61" s="11" t="str">
        <x:v>https://jlcpcb.com/partdetail/part/C84681</x:v>
      </x:c>
    </x:row>
    <x:row r="62" ht="26" customHeight="1">
      <x:c r="A62" s="18" t="str">
        <x:v>Extended</x:v>
      </x:c>
      <x:c r="B62" s="19" t="str">
        <x:v>SW1</x:v>
      </x:c>
      <x:c r="C62" s="19" t="str">
        <x:v>EM-01KP</x:v>
      </x:c>
      <x:c r="D62" s="20" t="str">
        <x:v>SMD</x:v>
      </x:c>
      <x:c r="E62" s="21" t="n">
        <x:v>1</x:v>
      </x:c>
      <x:c r="F62" s="21" t="n">
        <x:f>E62*$B$4</x:f>
        <x:v>5</x:v>
      </x:c>
      <x:c r="G62" s="21" t="n">
        <x:f>MAX(F62+P62,O62)</x:f>
        <x:v>5</x:v>
      </x:c>
      <x:c r="H62" s="21" t="n">
        <x:v>1943</x:v>
      </x:c>
      <x:c r="I62" s="22" t="n">
        <x:v>0.5699</x:v>
      </x:c>
      <x:c r="J62" s="23" t="n">
        <x:f>G62*I62</x:f>
        <x:v>2.8495</x:v>
      </x:c>
      <x:c r="K62" s="18" t="str">
        <x:v>In stock</x:v>
      </x:c>
      <x:c r="L62" s="18" t="str">
        <x:v>C129077</x:v>
      </x:c>
      <x:c r="M62" s="18" t="str">
        <x:v>EM-01KP</x:v>
      </x:c>
      <x:c r="N62" s="18" t="str">
        <x:v>Korean Hroparts Elec</x:v>
      </x:c>
      <x:c r="O62" s="18" t="n">
        <x:v>2</x:v>
      </x:c>
      <x:c r="P62" s="18" t="n">
        <x:v>0</x:v>
      </x:c>
      <x:c r="Q62" s="18" t="str">
        <x:v>JLC assembly</x:v>
      </x:c>
      <x:c r="R62" s="19" t="str"/>
      <x:c r="S62" s="18" t="str">
        <x:v>https://jlcpcb.com/partdetail/part/C129077</x:v>
      </x:c>
    </x:row>
    <x:row r="63" ht="26" customHeight="1">
      <x:c r="A63" s="11" t="str">
        <x:v>Extended</x:v>
      </x:c>
      <x:c r="B63" s="12" t="str">
        <x:v>J5</x:v>
      </x:c>
      <x:c r="C63" s="12" t="str">
        <x:v>67643-3911</x:v>
      </x:c>
      <x:c r="D63" s="13" t="str">
        <x:v>Push-Pull</x:v>
      </x:c>
      <x:c r="E63" s="14" t="n">
        <x:v>1</x:v>
      </x:c>
      <x:c r="F63" s="14" t="n">
        <x:f>E63*$B$4</x:f>
        <x:v>5</x:v>
      </x:c>
      <x:c r="G63" s="14" t="n">
        <x:f>MAX(F63+P63,O63)</x:f>
        <x:v>5</x:v>
      </x:c>
      <x:c r="H63" s="14" t="n">
        <x:v>2547</x:v>
      </x:c>
      <x:c r="I63" s="15" t="n">
        <x:v>0.9993</x:v>
      </x:c>
      <x:c r="J63" s="16" t="n">
        <x:f>G63*I63</x:f>
        <x:v>4.9965</x:v>
      </x:c>
      <x:c r="K63" s="11" t="str">
        <x:v>In stock</x:v>
      </x:c>
      <x:c r="L63" s="11" t="str">
        <x:v>C2765194</x:v>
      </x:c>
      <x:c r="M63" s="11" t="str">
        <x:v>67643-3911</x:v>
      </x:c>
      <x:c r="N63" s="11" t="str">
        <x:v>MOLEX</x:v>
      </x:c>
      <x:c r="O63" s="11" t="n">
        <x:v>1</x:v>
      </x:c>
      <x:c r="P63" s="11" t="n">
        <x:v>0</x:v>
      </x:c>
      <x:c r="Q63" s="11" t="str">
        <x:v>JLC assembly</x:v>
      </x:c>
      <x:c r="R63" s="12" t="str"/>
      <x:c r="S63" s="11" t="str">
        <x:v>https://jlcpcb.com/partdetail/part/C2765194</x:v>
      </x:c>
    </x:row>
    <x:row r="64" ht="26" customHeight="1">
      <x:c r="A64" s="18" t="str">
        <x:v>Extended</x:v>
      </x:c>
      <x:c r="B64" s="19" t="str">
        <x:v>U3</x:v>
      </x:c>
      <x:c r="C64" s="19" t="str">
        <x:v>ES8388</x:v>
      </x:c>
      <x:c r="D64" s="20" t="str">
        <x:v>QFN-28-EP(4x4)</x:v>
      </x:c>
      <x:c r="E64" s="21" t="n">
        <x:v>1</x:v>
      </x:c>
      <x:c r="F64" s="21" t="n">
        <x:f>E64*$B$4</x:f>
        <x:v>5</x:v>
      </x:c>
      <x:c r="G64" s="21" t="n">
        <x:f>MAX(F64+P64,O64)</x:f>
        <x:v>5</x:v>
      </x:c>
      <x:c r="H64" s="21" t="n">
        <x:v>45855</x:v>
      </x:c>
      <x:c r="I64" s="22" t="n">
        <x:v>1.1071</x:v>
      </x:c>
      <x:c r="J64" s="23" t="n">
        <x:f>G64*I64</x:f>
        <x:v>5.5355</x:v>
      </x:c>
      <x:c r="K64" s="18" t="str">
        <x:v>In stock</x:v>
      </x:c>
      <x:c r="L64" s="18" t="str">
        <x:v>C365736</x:v>
      </x:c>
      <x:c r="M64" s="18" t="str">
        <x:v>ES8388</x:v>
      </x:c>
      <x:c r="N64" s="18" t="str">
        <x:v>Everest-semi(Everest Semiconductor)</x:v>
      </x:c>
      <x:c r="O64" s="18" t="n">
        <x:v>1</x:v>
      </x:c>
      <x:c r="P64" s="18" t="n">
        <x:v>0</x:v>
      </x:c>
      <x:c r="Q64" s="18" t="str">
        <x:v>JLC assembly</x:v>
      </x:c>
      <x:c r="R64" s="19" t="str"/>
      <x:c r="S64" s="18" t="str">
        <x:v>https://jlcpcb.com/partdetail/part/C365736</x:v>
      </x:c>
    </x:row>
    <x:row r="65" ht="26" customHeight="1">
      <x:c r="A65" s="11" t="str">
        <x:v>Extended</x:v>
      </x:c>
      <x:c r="B65" s="12" t="str">
        <x:v>J6</x:v>
      </x:c>
      <x:c r="C65" s="12" t="str">
        <x:v>DM3AT-SF-PEJM5</x:v>
      </x:c>
      <x:c r="D65" s="13" t="str">
        <x:v>SMD</x:v>
      </x:c>
      <x:c r="E65" s="14" t="n">
        <x:v>1</x:v>
      </x:c>
      <x:c r="F65" s="14" t="n">
        <x:f>E65*$B$4</x:f>
        <x:v>5</x:v>
      </x:c>
      <x:c r="G65" s="14" t="n">
        <x:f>MAX(F65+P65,O65)</x:f>
        <x:v>5</x:v>
      </x:c>
      <x:c r="H65" s="14" t="n">
        <x:v>16464</x:v>
      </x:c>
      <x:c r="I65" s="15" t="n">
        <x:v>1.3912</x:v>
      </x:c>
      <x:c r="J65" s="16" t="n">
        <x:f>G65*I65</x:f>
        <x:v>6.9559999999999995</x:v>
      </x:c>
      <x:c r="K65" s="11" t="str">
        <x:v>In stock</x:v>
      </x:c>
      <x:c r="L65" s="11" t="str">
        <x:v>C114218</x:v>
      </x:c>
      <x:c r="M65" s="11" t="str">
        <x:v>DM3AT-SF-PEJM5</x:v>
      </x:c>
      <x:c r="N65" s="11" t="str">
        <x:v>HRS(Hirose)</x:v>
      </x:c>
      <x:c r="O65" s="11" t="n">
        <x:v>1</x:v>
      </x:c>
      <x:c r="P65" s="11" t="n">
        <x:v>0</x:v>
      </x:c>
      <x:c r="Q65" s="11" t="str">
        <x:v>JLC assembly</x:v>
      </x:c>
      <x:c r="R65" s="12" t="str"/>
      <x:c r="S65" s="11" t="str">
        <x:v>https://jlcpcb.com/partdetail/part/C114218</x:v>
      </x:c>
    </x:row>
    <x:row r="66" ht="26" customHeight="1">
      <x:c r="A66" s="18" t="str">
        <x:v>Extended</x:v>
      </x:c>
      <x:c r="B66" s="19" t="str">
        <x:v>U2</x:v>
      </x:c>
      <x:c r="C66" s="19" t="str">
        <x:v>PCM5102APWR</x:v>
      </x:c>
      <x:c r="D66" s="20" t="str">
        <x:v>TSSOP-20</x:v>
      </x:c>
      <x:c r="E66" s="21" t="n">
        <x:v>1</x:v>
      </x:c>
      <x:c r="F66" s="21" t="n">
        <x:f>E66*$B$4</x:f>
        <x:v>5</x:v>
      </x:c>
      <x:c r="G66" s="21" t="n">
        <x:f>MAX(F66+P66,O66)</x:f>
        <x:v>5</x:v>
      </x:c>
      <x:c r="H66" s="21" t="n">
        <x:v>3701</x:v>
      </x:c>
      <x:c r="I66" s="22" t="n">
        <x:v>1.4499</x:v>
      </x:c>
      <x:c r="J66" s="23" t="n">
        <x:f>G66*I66</x:f>
        <x:v>7.249499999999999</x:v>
      </x:c>
      <x:c r="K66" s="18" t="str">
        <x:v>In stock</x:v>
      </x:c>
      <x:c r="L66" s="18" t="str">
        <x:v>C107671</x:v>
      </x:c>
      <x:c r="M66" s="18" t="str">
        <x:v>PCM5102APWR</x:v>
      </x:c>
      <x:c r="N66" s="18" t="str">
        <x:v>Texas Instruments</x:v>
      </x:c>
      <x:c r="O66" s="18" t="n">
        <x:v>1</x:v>
      </x:c>
      <x:c r="P66" s="18" t="n">
        <x:v>0</x:v>
      </x:c>
      <x:c r="Q66" s="18" t="str">
        <x:v>JLC assembly</x:v>
      </x:c>
      <x:c r="R66" s="19" t="str"/>
      <x:c r="S66" s="18" t="str">
        <x:v>https://jlcpcb.com/partdetail/part/C107671</x:v>
      </x:c>
    </x:row>
    <x:row r="67" ht="36" customHeight="1">
      <x:c r="A67" s="11" t="str">
        <x:v>Extended</x:v>
      </x:c>
      <x:c r="B67" s="12" t="str">
        <x:v>U9</x:v>
      </x:c>
      <x:c r="C67" s="12" t="str">
        <x:v>ESP32-C6-MINI-1-H4</x:v>
      </x:c>
      <x:c r="D67" s="13" t="str">
        <x:v>SMD,16.6x13.2mm</x:v>
      </x:c>
      <x:c r="E67" s="14" t="n">
        <x:v>1</x:v>
      </x:c>
      <x:c r="F67" s="14" t="n">
        <x:f>E67*$B$4</x:f>
        <x:v>5</x:v>
      </x:c>
      <x:c r="G67" s="14" t="n">
        <x:f>MAX(F67+P67,O67)</x:f>
        <x:v>5</x:v>
      </x:c>
      <x:c r="H67" s="14" t="n">
        <x:v>2</x:v>
      </x:c>
      <x:c r="I67" s="15" t="n">
        <x:v>4.4248</x:v>
      </x:c>
      <x:c r="J67" s="16" t="n">
        <x:f>G67*I67</x:f>
        <x:v>22.124000000000002</x:v>
      </x:c>
      <x:c r="K67" s="11" t="str">
        <x:v>Insufficient stock</x:v>
      </x:c>
      <x:c r="L67" s="11" t="str">
        <x:v>C6553337</x:v>
      </x:c>
      <x:c r="M67" s="11" t="str">
        <x:v>ESP32-C6-MINI-1-H4</x:v>
      </x:c>
      <x:c r="N67" s="11" t="str">
        <x:v>Espressif Systems</x:v>
      </x:c>
      <x:c r="O67" s="11" t="n">
        <x:v>1</x:v>
      </x:c>
      <x:c r="P67" s="11" t="n">
        <x:v>0</x:v>
      </x:c>
      <x:c r="Q67" s="11" t="str">
        <x:v>JLC assembly</x:v>
      </x:c>
      <x:c r="R67" s="12" t="str">
        <x:v>Internal-antenna H4 module retained. Only 2 in JLC stock on 19 October; insufficient for five boards. External-antenna 1U versions are not an automatic substitute.</x:v>
      </x:c>
      <x:c r="S67" s="11" t="str">
        <x:v>https://jlcpcb.com/partdetail/part/C6553337</x:v>
      </x:c>
    </x:row>
    <x:row r="68" ht="26" customHeight="1">
      <x:c r="A68" s="18" t="str">
        <x:v>Extended</x:v>
      </x:c>
      <x:c r="B68" s="19" t="str">
        <x:v>U6</x:v>
      </x:c>
      <x:c r="C68" s="19" t="str">
        <x:v>W25Q256JVEIQ</x:v>
      </x:c>
      <x:c r="D68" s="20" t="str">
        <x:v>WSON-8-EP(6x8)</x:v>
      </x:c>
      <x:c r="E68" s="21" t="n">
        <x:v>1</x:v>
      </x:c>
      <x:c r="F68" s="21" t="n">
        <x:f>E68*$B$4</x:f>
        <x:v>5</x:v>
      </x:c>
      <x:c r="G68" s="21" t="n">
        <x:f>MAX(F68+P68,O68)</x:f>
        <x:v>5</x:v>
      </x:c>
      <x:c r="H68" s="21" t="n">
        <x:v>10046</x:v>
      </x:c>
      <x:c r="I68" s="22" t="n">
        <x:v>4.7824</x:v>
      </x:c>
      <x:c r="J68" s="23" t="n">
        <x:f>G68*I68</x:f>
        <x:v>23.912</x:v>
      </x:c>
      <x:c r="K68" s="18" t="str">
        <x:v>In stock</x:v>
      </x:c>
      <x:c r="L68" s="18" t="str">
        <x:v>C97522</x:v>
      </x:c>
      <x:c r="M68" s="18" t="str">
        <x:v>W25Q256JVEIQ</x:v>
      </x:c>
      <x:c r="N68" s="18" t="str">
        <x:v>Winbond Elec</x:v>
      </x:c>
      <x:c r="O68" s="18" t="n">
        <x:v>1</x:v>
      </x:c>
      <x:c r="P68" s="18" t="n">
        <x:v>0</x:v>
      </x:c>
      <x:c r="Q68" s="18" t="str">
        <x:v>JLC assembly</x:v>
      </x:c>
      <x:c r="R68" s="19" t="str">
        <x:v>32MB flash. Corrected from SOIC to WSON-8 8x6mm, EP3.4x4.3mm; exposed pad connected to GND.</x:v>
      </x:c>
      <x:c r="S68" s="18" t="str">
        <x:v>https://jlcpcb.com/partdetail/part/C97522</x:v>
      </x:c>
    </x:row>
    <x:row r="69" ht="26" customHeight="1">
      <x:c r="A69" s="11" t="str">
        <x:v>Extended</x:v>
      </x:c>
      <x:c r="B69" s="12" t="str">
        <x:v>U8</x:v>
      </x:c>
      <x:c r="C69" s="12" t="str">
        <x:v>LD39150DT33-R</x:v>
      </x:c>
      <x:c r="D69" s="13" t="str">
        <x:v>DPAK</x:v>
      </x:c>
      <x:c r="E69" s="14" t="n">
        <x:v>1</x:v>
      </x:c>
      <x:c r="F69" s="14" t="n">
        <x:f>E69*$B$4</x:f>
        <x:v>5</x:v>
      </x:c>
      <x:c r="G69" s="14" t="n">
        <x:f>MAX(F69+P69,O69)</x:f>
        <x:v>5</x:v>
      </x:c>
      <x:c r="H69" s="14" t="n">
        <x:v>0</x:v>
      </x:c>
      <x:c r="I69" s="15" t="n">
        <x:v>2.2418</x:v>
      </x:c>
      <x:c r="J69" s="16" t="n">
        <x:f>G69*I69</x:f>
        <x:v>11.209</x:v>
      </x:c>
      <x:c r="K69" s="11" t="str">
        <x:v>Out of stock</x:v>
      </x:c>
      <x:c r="L69" s="11" t="str">
        <x:v>C155559</x:v>
      </x:c>
      <x:c r="M69" s="11" t="str">
        <x:v>LD39150DT33-R</x:v>
      </x:c>
      <x:c r="N69" s="11" t="str">
        <x:v>STMicroelectronics</x:v>
      </x:c>
      <x:c r="O69" s="11" t="n">
        <x:v>1</x:v>
      </x:c>
      <x:c r="P69" s="11" t="n">
        <x:v>0</x:v>
      </x:c>
      <x:c r="Q69" s="11" t="str">
        <x:v>JLC assembly</x:v>
      </x:c>
      <x:c r="R69" s="12" t="str">
        <x:v>Requested Waveshare low-noise LDO retained. Out of JLC stock on 19 October; source/preorder required.</x:v>
      </x:c>
      <x:c r="S69" s="11" t="str">
        <x:v>https://jlcpcb.com/partdetail/part/C155559</x:v>
      </x:c>
    </x:row>
    <x:row r="70" ht="36" customHeight="1">
      <x:c r="A70" s="18" t="str">
        <x:v>Extended</x:v>
      </x:c>
      <x:c r="B70" s="19" t="str">
        <x:v>U1</x:v>
      </x:c>
      <x:c r="C70" s="19" t="str">
        <x:v>ESP32-P4NRW32X</x:v>
      </x:c>
      <x:c r="D70" s="20" t="str">
        <x:v>QFN-104_10x10mm</x:v>
      </x:c>
      <x:c r="E70" s="21" t="n">
        <x:v>1</x:v>
      </x:c>
      <x:c r="F70" s="21" t="n">
        <x:f>E70*$B$4</x:f>
        <x:v>5</x:v>
      </x:c>
      <x:c r="G70" s="21" t="n">
        <x:f>MAX(F70+P70,O70)</x:f>
        <x:v>5</x:v>
      </x:c>
      <x:c r="H70" s="21" t="n">
        <x:v>0</x:v>
      </x:c>
      <x:c r="I70" s="22" t="n">
        <x:v>6.1931</x:v>
      </x:c>
      <x:c r="J70" s="23" t="n">
        <x:f>G70*I70</x:f>
        <x:v>30.965500000000002</x:v>
      </x:c>
      <x:c r="K70" s="18" t="str">
        <x:v>Out of stock</x:v>
      </x:c>
      <x:c r="L70" s="18" t="str">
        <x:v>C54540373</x:v>
      </x:c>
      <x:c r="M70" s="18" t="str">
        <x:v>ESP32-P4NRW32X</x:v>
      </x:c>
      <x:c r="N70" s="18" t="str">
        <x:v>Espressif Systems</x:v>
      </x:c>
      <x:c r="O70" s="18" t="n">
        <x:v>1</x:v>
      </x:c>
      <x:c r="P70" s="18" t="n">
        <x:v>0</x:v>
      </x:c>
      <x:c r="Q70" s="18" t="str">
        <x:v>JLC assembly</x:v>
      </x:c>
      <x:c r="R70" s="19" t="str">
        <x:v>OUT OF STOCK. No stocked P4 variant found in the JLC catalogue. Supply/preorder required; do not substitute a consignment placeholder.</x:v>
      </x:c>
      <x:c r="S70" s="18" t="str">
        <x:v>https://jlcpcb.com/partdetail/part/C54540373</x:v>
      </x:c>
    </x:row>
    <x:row r="71" ht="26" customHeight="1">
      <x:c r="A71" s="11" t="str">
        <x:v>Extended</x:v>
      </x:c>
      <x:c r="B71" s="12" t="str">
        <x:v>J7</x:v>
      </x:c>
      <x:c r="C71" s="12" t="str">
        <x:v>Conn_01x04_Pin</x:v>
      </x:c>
      <x:c r="D71" s="13" t="str">
        <x:v>Plugin,P=2.54mm</x:v>
      </x:c>
      <x:c r="E71" s="14" t="n">
        <x:v>1</x:v>
      </x:c>
      <x:c r="F71" s="14" t="n">
        <x:f>E71*$B$4</x:f>
        <x:v>5</x:v>
      </x:c>
      <x:c r="G71" s="14" t="n">
        <x:f>F71</x:f>
        <x:v>5</x:v>
      </x:c>
      <x:c r="H71" s="14" t="n">
        <x:v>14736</x:v>
      </x:c>
      <x:c r="I71" s="15" t="n">
        <x:v>0.0213</x:v>
      </x:c>
      <x:c r="J71" s="16" t="n">
        <x:f>G71*I71</x:f>
        <x:v>0.1065</x:v>
      </x:c>
      <x:c r="K71" s="11" t="str">
        <x:v>In stock</x:v>
      </x:c>
      <x:c r="L71" s="11" t="str">
        <x:v>C42431787</x:v>
      </x:c>
      <x:c r="M71" s="11" t="str">
        <x:v>PZ2.54-1X4P-H25</x:v>
      </x:c>
      <x:c r="N71" s="11" t="str">
        <x:v>JXTCONN</x:v>
      </x:c>
      <x:c r="O71" s="11" t="n">
        <x:v>2</x:v>
      </x:c>
      <x:c r="P71" s="11" t="n">
        <x:v>1</x:v>
      </x:c>
      <x:c r="Q71" s="11" t="str">
        <x:v>Manual fit</x:v>
      </x:c>
      <x:c r="R71" s="12" t="str">
        <x:v>C6 PROG header; manual fit, excluded from JLC assembly BOM. BOOT/RX/TX/GND.</x:v>
      </x:c>
      <x:c r="S71" s="11" t="str">
        <x:v>https://jlcpcb.com/partdetail/part/C42431787</x:v>
      </x:c>
    </x:row>
    <x:row r="72" ht="36" customHeight="1">
      <x:c r="A72" s="18" t="str">
        <x:v>Extended</x:v>
      </x:c>
      <x:c r="B72" s="19" t="str">
        <x:v>J8</x:v>
      </x:c>
      <x:c r="C72" s="19" t="str">
        <x:v>VBAT_SELECT</x:v>
      </x:c>
      <x:c r="D72" s="20" t="str">
        <x:v>Push-Pull,P=2.54mm</x:v>
      </x:c>
      <x:c r="E72" s="21" t="n">
        <x:v>1</x:v>
      </x:c>
      <x:c r="F72" s="21" t="n">
        <x:f>E72*$B$4</x:f>
        <x:v>5</x:v>
      </x:c>
      <x:c r="G72" s="21" t="n">
        <x:f>F72</x:f>
        <x:v>5</x:v>
      </x:c>
      <x:c r="H72" s="21" t="n">
        <x:v>11589</x:v>
      </x:c>
      <x:c r="I72" s="22" t="n">
        <x:v>0.0257</x:v>
      </x:c>
      <x:c r="J72" s="23" t="n">
        <x:f>G72*I72</x:f>
        <x:v>0.1285</x:v>
      </x:c>
      <x:c r="K72" s="18" t="str">
        <x:v>In stock</x:v>
      </x:c>
      <x:c r="L72" s="18" t="str">
        <x:v>C92159</x:v>
      </x:c>
      <x:c r="M72" s="18" t="str">
        <x:v>2.54-1*3PStraight Bent Pin</x:v>
      </x:c>
      <x:c r="N72" s="18" t="str">
        <x:v>BOOMELE(Boom Precision Elec)</x:v>
      </x:c>
      <x:c r="O72" s="18" t="n">
        <x:v>2</x:v>
      </x:c>
      <x:c r="P72" s="18" t="n">
        <x:v>1</x:v>
      </x:c>
      <x:c r="Q72" s="18" t="str">
        <x:v>Manual fit</x:v>
      </x:c>
      <x:c r="R72" s="19" t="str">
        <x:v>RTC selector right-angle 1x3 2.54mm header; manual fit, excluded from assembly BOM. Requires one separate shunt.</x:v>
      </x:c>
      <x:c r="S72" s="18" t="str">
        <x:v>https://jlcpcb.com/partdetail/part/C92159</x:v>
      </x:c>
    </x:row>
    <x:row r="73" ht="26" customHeight="1">
      <x:c r="A73" s="11" t="str">
        <x:v>n.a.</x:v>
      </x:c>
      <x:c r="B73" s="12" t="str">
        <x:v>H1, H2, H3, H4</x:v>
      </x:c>
      <x:c r="C73" s="12" t="str">
        <x:v>MountingHole</x:v>
      </x:c>
      <x:c r="D73" s="13" t="str">
        <x:v>3.2mm M3 hole</x:v>
      </x:c>
      <x:c r="E73" s="14" t="n">
        <x:v>4</x:v>
      </x:c>
      <x:c r="F73" s="14" t="n">
        <x:f>E73*$B$4</x:f>
        <x:v>20</x:v>
      </x:c>
      <x:c r="G73" s="14" t="n">
        <x:v>0</x:v>
      </x:c>
      <x:c r="H73" s="14"/>
      <x:c r="I73" s="15"/>
      <x:c r="J73" s="16"/>
      <x:c r="K73" s="11" t="str">
        <x:v>Not purchased</x:v>
      </x:c>
      <x:c r="L73" s="11" t="str"/>
      <x:c r="M73" s="11" t="str"/>
      <x:c r="N73" s="11" t="str"/>
      <x:c r="O73" s="11"/>
      <x:c r="P73" s="11"/>
      <x:c r="Q73" s="11" t="str">
        <x:v>PCB feature</x:v>
      </x:c>
      <x:c r="R73" s="12" t="str">
        <x:v>Non-purchased PCB mounting hole.</x:v>
      </x:c>
      <x:c r="S73" s="11" t="str"/>
    </x:row>
  </x:sheetData>
  <x:conditionalFormatting sqref="K9:K73">
    <x:cfRule type="containsText" dxfId="0" priority="1" operator="containsText" text="Out of stock"/>
  </x:conditionalFormatting>
  <x:pageMargins left="0.7" right="0.7" top="0.75" bottom="0.75" header="0.3" footer="0.3"/>
</x:worksheet>
</file>